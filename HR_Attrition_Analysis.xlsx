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caf4bab5698d0da/Desktop/HR-Attrition-Project/"/>
    </mc:Choice>
  </mc:AlternateContent>
  <xr:revisionPtr revIDLastSave="0" documentId="8_{D285C65A-D67E-4B74-969A-F71261D55E5B}" xr6:coauthVersionLast="47" xr6:coauthVersionMax="47" xr10:uidLastSave="{00000000-0000-0000-0000-000000000000}"/>
  <bookViews>
    <workbookView xWindow="-108" yWindow="-108" windowWidth="23256" windowHeight="12456" xr2:uid="{DAC0CFF0-F8A2-4BDC-9912-63D75ED198CA}"/>
  </bookViews>
  <sheets>
    <sheet name="Dashboard" sheetId="10" r:id="rId1"/>
    <sheet name="Pivot_Dept" sheetId="7" r:id="rId2"/>
    <sheet name="Pivot-Jobsat" sheetId="8" r:id="rId3"/>
    <sheet name="Pivot_Income" sheetId="9" r:id="rId4"/>
    <sheet name="HRData Table" sheetId="1" r:id="rId5"/>
    <sheet name="Lookup_Demo" sheetId="2" r:id="rId6"/>
    <sheet name="Attrition_Summary" sheetId="3" r:id="rId7"/>
    <sheet name="Attrition_by_jobsatisfaction" sheetId="4" r:id="rId8"/>
    <sheet name="Income_Attrition" sheetId="5" r:id="rId9"/>
    <sheet name="Attrition_Dept_Tenure" sheetId="6" r:id="rId10"/>
  </sheets>
  <definedNames>
    <definedName name="Slicer_Attrition">#N/A</definedName>
    <definedName name="Slicer_Department">#N/A</definedName>
    <definedName name="Slicer_MonthlyIncom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5" l="1"/>
  <c r="C2" i="5"/>
  <c r="B3" i="5"/>
  <c r="B2" i="5"/>
  <c r="C3" i="4"/>
  <c r="D3" i="4" s="1"/>
  <c r="C4" i="4"/>
  <c r="D4" i="4" s="1"/>
  <c r="C5" i="4"/>
  <c r="D5" i="4"/>
  <c r="B3" i="4"/>
  <c r="B4" i="4"/>
  <c r="B5" i="4"/>
  <c r="B2" i="4"/>
  <c r="C2" i="4"/>
  <c r="H2" i="3"/>
  <c r="B7" i="3" s="1"/>
  <c r="B8" i="3" s="1"/>
  <c r="F2" i="3"/>
  <c r="B3" i="3"/>
  <c r="B4" i="3"/>
  <c r="B2" i="3"/>
  <c r="C2" i="2"/>
  <c r="B2" i="2"/>
  <c r="AJ2" i="1" a="1"/>
  <c r="AJ3" i="1" a="1"/>
  <c r="AJ4" i="1" a="1"/>
  <c r="AJ5" i="1" a="1"/>
  <c r="AJ6" i="1" a="1"/>
  <c r="AJ7" i="1" a="1"/>
  <c r="AJ8" i="1" a="1"/>
  <c r="AJ9" i="1" a="1"/>
  <c r="AJ10" i="1" a="1"/>
  <c r="AJ11" i="1" a="1"/>
  <c r="AJ12" i="1" a="1"/>
  <c r="AJ13" i="1" a="1"/>
  <c r="AJ14" i="1" a="1"/>
  <c r="AJ15" i="1" a="1"/>
  <c r="AJ16" i="1" a="1"/>
  <c r="AJ17" i="1" a="1"/>
  <c r="AJ18" i="1" a="1"/>
  <c r="AJ19" i="1" a="1"/>
  <c r="AJ20" i="1" a="1"/>
  <c r="AJ21" i="1" a="1"/>
  <c r="AJ22" i="1" a="1"/>
  <c r="AJ23" i="1" a="1"/>
  <c r="AJ24" i="1" a="1"/>
  <c r="AJ25" i="1" a="1"/>
  <c r="AJ26" i="1" a="1"/>
  <c r="AJ27" i="1" a="1"/>
  <c r="AJ28" i="1" a="1"/>
  <c r="AJ29" i="1" a="1"/>
  <c r="AJ30" i="1" a="1"/>
  <c r="AJ31" i="1" a="1"/>
  <c r="AJ32" i="1" a="1"/>
  <c r="AJ33" i="1" a="1"/>
  <c r="AJ34" i="1" a="1"/>
  <c r="AJ35" i="1" a="1"/>
  <c r="AJ36" i="1" a="1"/>
  <c r="AJ37" i="1" a="1"/>
  <c r="AJ38" i="1" a="1"/>
  <c r="AJ39" i="1" a="1"/>
  <c r="AJ40" i="1" a="1"/>
  <c r="AJ41" i="1" a="1"/>
  <c r="AJ42" i="1" a="1"/>
  <c r="AJ43" i="1" a="1"/>
  <c r="AJ44" i="1" a="1"/>
  <c r="AJ45" i="1" a="1"/>
  <c r="AJ46" i="1" a="1"/>
  <c r="AJ47" i="1" a="1"/>
  <c r="AJ48" i="1" a="1"/>
  <c r="AJ49" i="1" a="1"/>
  <c r="AJ50" i="1" a="1"/>
  <c r="AJ51" i="1" a="1"/>
  <c r="AJ52" i="1" a="1"/>
  <c r="AJ53" i="1" a="1"/>
  <c r="AJ54" i="1" a="1"/>
  <c r="AJ55" i="1" a="1"/>
  <c r="AJ56" i="1" a="1"/>
  <c r="AJ57" i="1" a="1"/>
  <c r="AJ58" i="1" a="1"/>
  <c r="AJ59" i="1" a="1"/>
  <c r="AJ60" i="1" a="1"/>
  <c r="AJ61" i="1" a="1"/>
  <c r="AJ62" i="1" a="1"/>
  <c r="AJ63" i="1" a="1"/>
  <c r="AJ64" i="1" a="1"/>
  <c r="AJ65" i="1" a="1"/>
  <c r="AJ66" i="1" a="1"/>
  <c r="AJ67" i="1" a="1"/>
  <c r="AJ68" i="1" a="1"/>
  <c r="AJ69" i="1" a="1"/>
  <c r="AJ70" i="1" a="1"/>
  <c r="AJ71" i="1" a="1"/>
  <c r="AJ72" i="1" a="1"/>
  <c r="AJ73" i="1" a="1"/>
  <c r="AJ74" i="1" a="1"/>
  <c r="AJ75" i="1" a="1"/>
  <c r="AJ76" i="1" a="1"/>
  <c r="AJ77" i="1" a="1"/>
  <c r="AJ78" i="1" a="1"/>
  <c r="AJ79" i="1" a="1"/>
  <c r="AJ80" i="1" a="1"/>
  <c r="AJ81" i="1" a="1"/>
  <c r="D10" i="6" s="1"/>
  <c r="AJ82" i="1" a="1"/>
  <c r="AJ83" i="1" a="1"/>
  <c r="AJ84" i="1" a="1"/>
  <c r="AJ85" i="1" a="1"/>
  <c r="AJ86" i="1" a="1"/>
  <c r="AJ87" i="1" a="1"/>
  <c r="AJ88" i="1" a="1"/>
  <c r="AJ89" i="1" a="1"/>
  <c r="AJ90" i="1" a="1"/>
  <c r="AJ91" i="1" a="1"/>
  <c r="AJ92" i="1" a="1"/>
  <c r="AJ93" i="1" a="1"/>
  <c r="AJ94" i="1" a="1"/>
  <c r="AJ95" i="1" a="1"/>
  <c r="AJ96" i="1" a="1"/>
  <c r="AJ97" i="1" a="1"/>
  <c r="AJ98" i="1" a="1"/>
  <c r="AJ99" i="1" a="1"/>
  <c r="AJ100" i="1" a="1"/>
  <c r="AJ101" i="1" a="1"/>
  <c r="AJ102" i="1" a="1"/>
  <c r="AJ103" i="1" a="1"/>
  <c r="AJ104" i="1" a="1"/>
  <c r="AJ105" i="1" a="1"/>
  <c r="AJ106" i="1" a="1"/>
  <c r="AJ107" i="1" a="1"/>
  <c r="AJ108" i="1" a="1"/>
  <c r="AJ109" i="1" a="1"/>
  <c r="AJ110" i="1" a="1"/>
  <c r="AJ111" i="1" a="1"/>
  <c r="AJ112" i="1" a="1"/>
  <c r="AJ113" i="1" a="1"/>
  <c r="AJ114" i="1" a="1"/>
  <c r="AJ115" i="1" a="1"/>
  <c r="AJ116" i="1" a="1"/>
  <c r="AJ117" i="1" a="1"/>
  <c r="AJ118" i="1" a="1"/>
  <c r="AJ119" i="1" a="1"/>
  <c r="AJ120" i="1" a="1"/>
  <c r="AJ121" i="1" a="1"/>
  <c r="AJ122" i="1" a="1"/>
  <c r="AJ123" i="1" a="1"/>
  <c r="AJ124" i="1" a="1"/>
  <c r="AJ125" i="1" a="1"/>
  <c r="AJ126" i="1" a="1"/>
  <c r="AJ127" i="1" a="1"/>
  <c r="AJ128" i="1" a="1"/>
  <c r="AJ129" i="1" a="1"/>
  <c r="AJ130" i="1" a="1"/>
  <c r="AJ131" i="1" a="1"/>
  <c r="AJ132" i="1" a="1"/>
  <c r="AJ133" i="1" a="1"/>
  <c r="AJ134" i="1" a="1"/>
  <c r="AJ135" i="1" a="1"/>
  <c r="AJ136" i="1" a="1"/>
  <c r="AJ137" i="1" a="1"/>
  <c r="AJ138" i="1" a="1"/>
  <c r="AJ139" i="1" a="1"/>
  <c r="AJ140" i="1" a="1"/>
  <c r="AJ141" i="1" a="1"/>
  <c r="AJ142" i="1" a="1"/>
  <c r="AJ143" i="1" a="1"/>
  <c r="AJ144" i="1" a="1"/>
  <c r="AJ145" i="1" a="1"/>
  <c r="AJ146" i="1" a="1"/>
  <c r="AJ147" i="1" a="1"/>
  <c r="AJ148" i="1" a="1"/>
  <c r="AJ149" i="1" a="1"/>
  <c r="AJ150" i="1" a="1"/>
  <c r="AJ151" i="1" a="1"/>
  <c r="AJ152" i="1" a="1"/>
  <c r="AJ153" i="1" a="1"/>
  <c r="AJ154" i="1" a="1"/>
  <c r="AJ155" i="1" a="1"/>
  <c r="AJ156" i="1" a="1"/>
  <c r="AJ157" i="1" a="1"/>
  <c r="AJ158" i="1" a="1"/>
  <c r="AJ159" i="1" a="1"/>
  <c r="AJ160" i="1" a="1"/>
  <c r="AJ161" i="1" a="1"/>
  <c r="AJ162" i="1" a="1"/>
  <c r="AJ163" i="1" a="1"/>
  <c r="AJ164" i="1" a="1"/>
  <c r="AJ165" i="1" a="1"/>
  <c r="AJ166" i="1" a="1"/>
  <c r="AJ167" i="1" a="1"/>
  <c r="AJ168" i="1" a="1"/>
  <c r="AJ169" i="1" a="1"/>
  <c r="AJ170" i="1" a="1"/>
  <c r="AJ171" i="1" a="1"/>
  <c r="AJ172" i="1" a="1"/>
  <c r="AJ173" i="1" a="1"/>
  <c r="AJ174" i="1" a="1"/>
  <c r="AJ175" i="1" a="1"/>
  <c r="AJ176" i="1" a="1"/>
  <c r="AJ177" i="1" a="1"/>
  <c r="AJ178" i="1" a="1"/>
  <c r="AJ179" i="1" a="1"/>
  <c r="AJ180" i="1" a="1"/>
  <c r="AJ181" i="1" a="1"/>
  <c r="AJ182" i="1" a="1"/>
  <c r="AJ183" i="1" a="1"/>
  <c r="AJ184" i="1" a="1"/>
  <c r="AJ185" i="1" a="1"/>
  <c r="AJ186" i="1" a="1"/>
  <c r="AJ187" i="1" a="1"/>
  <c r="AJ188" i="1" a="1"/>
  <c r="AJ189" i="1" a="1"/>
  <c r="AJ190" i="1" a="1"/>
  <c r="AJ191" i="1" a="1"/>
  <c r="AJ192" i="1" a="1"/>
  <c r="AJ193" i="1" a="1"/>
  <c r="AJ194" i="1" a="1"/>
  <c r="AJ195" i="1" a="1"/>
  <c r="AJ196" i="1" a="1"/>
  <c r="AJ197" i="1" a="1"/>
  <c r="AJ198" i="1" a="1"/>
  <c r="AJ199" i="1" a="1"/>
  <c r="AJ200" i="1" a="1"/>
  <c r="AJ201" i="1" a="1"/>
  <c r="AJ202" i="1" a="1"/>
  <c r="AJ203" i="1" a="1"/>
  <c r="AJ204" i="1" a="1"/>
  <c r="AJ205" i="1" a="1"/>
  <c r="AJ206" i="1" a="1"/>
  <c r="AJ207" i="1" a="1"/>
  <c r="AJ208" i="1" a="1"/>
  <c r="AJ209" i="1" a="1"/>
  <c r="AJ210" i="1" a="1"/>
  <c r="AJ211" i="1" a="1"/>
  <c r="AJ212" i="1" a="1"/>
  <c r="AJ213" i="1" a="1"/>
  <c r="AJ214" i="1" a="1"/>
  <c r="AJ215" i="1" a="1"/>
  <c r="AJ216" i="1" a="1"/>
  <c r="AJ217" i="1" a="1"/>
  <c r="AJ218" i="1" a="1"/>
  <c r="AJ219" i="1" a="1"/>
  <c r="AJ220" i="1" a="1"/>
  <c r="AJ221" i="1" a="1"/>
  <c r="AJ222" i="1" a="1"/>
  <c r="AJ223" i="1" a="1"/>
  <c r="AJ224" i="1" a="1"/>
  <c r="AJ225" i="1" a="1"/>
  <c r="AJ226" i="1" a="1"/>
  <c r="AJ227" i="1" a="1"/>
  <c r="AJ228" i="1" a="1"/>
  <c r="AJ229" i="1" a="1"/>
  <c r="AJ230" i="1" a="1"/>
  <c r="AJ231" i="1" a="1"/>
  <c r="AJ232" i="1" a="1"/>
  <c r="AJ233" i="1" a="1"/>
  <c r="AJ234" i="1" a="1"/>
  <c r="AJ235" i="1" a="1"/>
  <c r="AJ236" i="1" a="1"/>
  <c r="AJ237" i="1" a="1"/>
  <c r="AJ238" i="1" a="1"/>
  <c r="AJ239" i="1" a="1"/>
  <c r="AJ240" i="1" a="1"/>
  <c r="AJ241" i="1" a="1"/>
  <c r="AJ242" i="1" a="1"/>
  <c r="AJ243" i="1" a="1"/>
  <c r="AJ244" i="1" a="1"/>
  <c r="AJ245" i="1" a="1"/>
  <c r="AJ246" i="1" a="1"/>
  <c r="AJ247" i="1" a="1"/>
  <c r="AJ248" i="1" a="1"/>
  <c r="AJ249" i="1" a="1"/>
  <c r="AJ250" i="1" a="1"/>
  <c r="AJ251" i="1" a="1"/>
  <c r="AJ252" i="1" a="1"/>
  <c r="AJ253" i="1" a="1"/>
  <c r="AJ254" i="1" a="1"/>
  <c r="AJ255" i="1" a="1"/>
  <c r="AJ256" i="1" a="1"/>
  <c r="AJ257" i="1" a="1"/>
  <c r="AJ258" i="1" a="1"/>
  <c r="AJ259" i="1" a="1"/>
  <c r="AJ260" i="1" a="1"/>
  <c r="AJ261" i="1" a="1"/>
  <c r="AJ262" i="1" a="1"/>
  <c r="AJ263" i="1" a="1"/>
  <c r="AJ264" i="1" a="1"/>
  <c r="AJ265" i="1" a="1"/>
  <c r="AJ266" i="1" a="1"/>
  <c r="AJ267" i="1" a="1"/>
  <c r="AJ268" i="1" a="1"/>
  <c r="AJ269" i="1" a="1"/>
  <c r="AJ270" i="1" a="1"/>
  <c r="AJ271" i="1" a="1"/>
  <c r="AJ272" i="1" a="1"/>
  <c r="AJ273" i="1" a="1"/>
  <c r="AJ274" i="1" a="1"/>
  <c r="AJ275" i="1" a="1"/>
  <c r="AJ276" i="1" a="1"/>
  <c r="AJ277" i="1" a="1"/>
  <c r="AJ278" i="1" a="1"/>
  <c r="AJ279" i="1" a="1"/>
  <c r="AJ280" i="1" a="1"/>
  <c r="AJ281" i="1" a="1"/>
  <c r="AJ282" i="1" a="1"/>
  <c r="AJ283" i="1" a="1"/>
  <c r="AJ284" i="1" a="1"/>
  <c r="AJ285" i="1" a="1"/>
  <c r="AJ286" i="1" a="1"/>
  <c r="AJ287" i="1" a="1"/>
  <c r="AJ288" i="1" a="1"/>
  <c r="AJ289" i="1" a="1"/>
  <c r="AJ290" i="1" a="1"/>
  <c r="AJ291" i="1" a="1"/>
  <c r="AJ292" i="1" a="1"/>
  <c r="AJ293" i="1" a="1"/>
  <c r="AJ294" i="1" a="1"/>
  <c r="AJ295" i="1" a="1"/>
  <c r="AJ296" i="1" a="1"/>
  <c r="AJ297" i="1" a="1"/>
  <c r="AJ298" i="1" a="1"/>
  <c r="AJ299" i="1" a="1"/>
  <c r="AJ300" i="1" a="1"/>
  <c r="AJ301" i="1" a="1"/>
  <c r="AJ302" i="1" a="1"/>
  <c r="AJ303" i="1" a="1"/>
  <c r="AJ304" i="1" a="1"/>
  <c r="AJ305" i="1" a="1"/>
  <c r="AJ306" i="1" a="1"/>
  <c r="AJ307" i="1" a="1"/>
  <c r="AJ308" i="1" a="1"/>
  <c r="AJ309" i="1" a="1"/>
  <c r="AJ310" i="1" a="1"/>
  <c r="AJ311" i="1" a="1"/>
  <c r="AJ312" i="1" a="1"/>
  <c r="AJ313" i="1" a="1"/>
  <c r="AJ314" i="1" a="1"/>
  <c r="AJ315" i="1" a="1"/>
  <c r="AJ316" i="1" a="1"/>
  <c r="AJ317" i="1" a="1"/>
  <c r="AJ318" i="1" a="1"/>
  <c r="AJ319" i="1" a="1"/>
  <c r="AJ320" i="1" a="1"/>
  <c r="AJ321" i="1" a="1"/>
  <c r="AJ322" i="1" a="1"/>
  <c r="AJ323" i="1" a="1"/>
  <c r="AJ324" i="1" a="1"/>
  <c r="AJ325" i="1" a="1"/>
  <c r="AJ326" i="1" a="1"/>
  <c r="AJ327" i="1" a="1"/>
  <c r="AJ328" i="1" a="1"/>
  <c r="AJ329" i="1" a="1"/>
  <c r="AJ330" i="1" a="1"/>
  <c r="AJ331" i="1" a="1"/>
  <c r="AJ332" i="1" a="1"/>
  <c r="AJ333" i="1" a="1"/>
  <c r="AJ334" i="1" a="1"/>
  <c r="AJ335" i="1" a="1"/>
  <c r="AJ336" i="1" a="1"/>
  <c r="AJ337" i="1" a="1"/>
  <c r="AJ338" i="1" a="1"/>
  <c r="AJ339" i="1" a="1"/>
  <c r="AJ340" i="1" a="1"/>
  <c r="AJ341" i="1" a="1"/>
  <c r="AJ342" i="1" a="1"/>
  <c r="AJ343" i="1" a="1"/>
  <c r="AJ344" i="1" a="1"/>
  <c r="AJ345" i="1" a="1"/>
  <c r="AJ346" i="1" a="1"/>
  <c r="AJ347" i="1" a="1"/>
  <c r="AJ348" i="1" a="1"/>
  <c r="AJ349" i="1" a="1"/>
  <c r="AJ350" i="1" a="1"/>
  <c r="AJ351" i="1" a="1"/>
  <c r="AJ352" i="1" a="1"/>
  <c r="AJ353" i="1" a="1"/>
  <c r="AJ354" i="1" a="1"/>
  <c r="AJ355" i="1" a="1"/>
  <c r="AJ356" i="1" a="1"/>
  <c r="AJ357" i="1" a="1"/>
  <c r="AJ358" i="1" a="1"/>
  <c r="AJ359" i="1" a="1"/>
  <c r="AJ360" i="1" a="1"/>
  <c r="AJ361" i="1" a="1"/>
  <c r="AJ362" i="1" a="1"/>
  <c r="AJ363" i="1" a="1"/>
  <c r="AJ364" i="1" a="1"/>
  <c r="AJ365" i="1" a="1"/>
  <c r="AJ366" i="1" a="1"/>
  <c r="AJ367" i="1" a="1"/>
  <c r="AJ368" i="1" a="1"/>
  <c r="AJ369" i="1" a="1"/>
  <c r="AJ370" i="1" a="1"/>
  <c r="AJ371" i="1" a="1"/>
  <c r="AJ372" i="1" a="1"/>
  <c r="AJ373" i="1" a="1"/>
  <c r="AJ374" i="1" a="1"/>
  <c r="AJ375" i="1" a="1"/>
  <c r="AJ376" i="1" a="1"/>
  <c r="AJ377" i="1" a="1"/>
  <c r="AJ378" i="1" a="1"/>
  <c r="AJ379" i="1" a="1"/>
  <c r="AJ380" i="1" a="1"/>
  <c r="AJ381" i="1" a="1"/>
  <c r="AJ382" i="1" a="1"/>
  <c r="AJ383" i="1" a="1"/>
  <c r="AJ384" i="1" a="1"/>
  <c r="AJ385" i="1" a="1"/>
  <c r="AJ386" i="1" a="1"/>
  <c r="AJ387" i="1" a="1"/>
  <c r="AJ388" i="1" a="1"/>
  <c r="AJ389" i="1" a="1"/>
  <c r="AJ390" i="1" a="1"/>
  <c r="AJ391" i="1" a="1"/>
  <c r="AJ392" i="1" a="1"/>
  <c r="AJ393" i="1" a="1"/>
  <c r="AJ394" i="1" a="1"/>
  <c r="AJ395" i="1" a="1"/>
  <c r="AJ396" i="1" a="1"/>
  <c r="AJ397" i="1" a="1"/>
  <c r="AJ398" i="1" a="1"/>
  <c r="AJ399" i="1" a="1"/>
  <c r="AJ400" i="1" a="1"/>
  <c r="AJ401" i="1" a="1"/>
  <c r="AJ402" i="1" a="1"/>
  <c r="AJ403" i="1" a="1"/>
  <c r="AJ404" i="1" a="1"/>
  <c r="AJ405" i="1" a="1"/>
  <c r="AJ406" i="1" a="1"/>
  <c r="AJ407" i="1" a="1"/>
  <c r="AJ408" i="1" a="1"/>
  <c r="AJ409" i="1" a="1"/>
  <c r="AJ410" i="1" a="1"/>
  <c r="AJ411" i="1" a="1"/>
  <c r="AJ412" i="1" a="1"/>
  <c r="AJ413" i="1" a="1"/>
  <c r="AJ414" i="1" a="1"/>
  <c r="AJ415" i="1" a="1"/>
  <c r="AJ416" i="1" a="1"/>
  <c r="AJ417" i="1" a="1"/>
  <c r="AJ418" i="1" a="1"/>
  <c r="AJ419" i="1" a="1"/>
  <c r="AJ420" i="1" a="1"/>
  <c r="AJ421" i="1" a="1"/>
  <c r="AJ422" i="1" a="1"/>
  <c r="AJ423" i="1" a="1"/>
  <c r="AJ424" i="1" a="1"/>
  <c r="AJ425" i="1" a="1"/>
  <c r="AJ426" i="1" a="1"/>
  <c r="AJ427" i="1" a="1"/>
  <c r="AJ428" i="1" a="1"/>
  <c r="AJ429" i="1" a="1"/>
  <c r="AJ430" i="1" a="1"/>
  <c r="AJ431" i="1" a="1"/>
  <c r="AJ432" i="1" a="1"/>
  <c r="AJ433" i="1" a="1"/>
  <c r="AJ434" i="1" a="1"/>
  <c r="AJ435" i="1" a="1"/>
  <c r="AJ436" i="1" a="1"/>
  <c r="AJ437" i="1" a="1"/>
  <c r="AJ438" i="1" a="1"/>
  <c r="AJ439" i="1" a="1"/>
  <c r="AJ440" i="1" a="1"/>
  <c r="AJ441" i="1" a="1"/>
  <c r="AJ442" i="1" a="1"/>
  <c r="AJ443" i="1" a="1"/>
  <c r="AJ444" i="1" a="1"/>
  <c r="AJ445" i="1" a="1"/>
  <c r="AJ446" i="1" a="1"/>
  <c r="AJ447" i="1" a="1"/>
  <c r="AJ448" i="1" a="1"/>
  <c r="AJ449" i="1" a="1"/>
  <c r="AJ450" i="1" a="1"/>
  <c r="AJ451" i="1" a="1"/>
  <c r="AJ452" i="1" a="1"/>
  <c r="AJ453" i="1" a="1"/>
  <c r="AJ454" i="1" a="1"/>
  <c r="AJ455" i="1" a="1"/>
  <c r="AJ456" i="1" a="1"/>
  <c r="AJ457" i="1" a="1"/>
  <c r="AJ458" i="1" a="1"/>
  <c r="AJ459" i="1" a="1"/>
  <c r="AJ460" i="1" a="1"/>
  <c r="AJ461" i="1" a="1"/>
  <c r="AJ462" i="1" a="1"/>
  <c r="AJ463" i="1" a="1"/>
  <c r="AJ464" i="1" a="1"/>
  <c r="AJ465" i="1" a="1"/>
  <c r="AJ466" i="1" a="1"/>
  <c r="AJ467" i="1" a="1"/>
  <c r="AJ468" i="1" a="1"/>
  <c r="AJ469" i="1" a="1"/>
  <c r="AJ470" i="1" a="1"/>
  <c r="AJ471" i="1" a="1"/>
  <c r="AJ472" i="1" a="1"/>
  <c r="AJ473" i="1" a="1"/>
  <c r="AJ474" i="1" a="1"/>
  <c r="AJ475" i="1" a="1"/>
  <c r="AJ476" i="1" a="1"/>
  <c r="AJ477" i="1" a="1"/>
  <c r="AJ478" i="1" a="1"/>
  <c r="AJ479" i="1" a="1"/>
  <c r="AJ480" i="1" a="1"/>
  <c r="AJ481" i="1" a="1"/>
  <c r="AJ482" i="1" a="1"/>
  <c r="AJ483" i="1" a="1"/>
  <c r="AJ484" i="1" a="1"/>
  <c r="AJ485" i="1" a="1"/>
  <c r="AJ486" i="1" a="1"/>
  <c r="AJ487" i="1" a="1"/>
  <c r="AJ488" i="1" a="1"/>
  <c r="AJ489" i="1" a="1"/>
  <c r="AJ490" i="1" a="1"/>
  <c r="AJ491" i="1" a="1"/>
  <c r="AJ492" i="1" a="1"/>
  <c r="AJ493" i="1" a="1"/>
  <c r="AJ494" i="1" a="1"/>
  <c r="AJ495" i="1" a="1"/>
  <c r="AJ496" i="1" a="1"/>
  <c r="AJ497" i="1" a="1"/>
  <c r="AJ498" i="1" a="1"/>
  <c r="AJ499" i="1" a="1"/>
  <c r="AJ500" i="1" a="1"/>
  <c r="AJ501" i="1" a="1"/>
  <c r="AJ502" i="1" a="1"/>
  <c r="AJ503" i="1" a="1"/>
  <c r="AJ504" i="1" a="1"/>
  <c r="AJ505" i="1" a="1"/>
  <c r="AJ506" i="1" a="1"/>
  <c r="AJ507" i="1" a="1"/>
  <c r="AJ508" i="1" a="1"/>
  <c r="AJ509" i="1" a="1"/>
  <c r="AJ510" i="1" a="1"/>
  <c r="AJ511" i="1" a="1"/>
  <c r="AJ512" i="1" a="1"/>
  <c r="AJ513" i="1" a="1"/>
  <c r="AJ514" i="1" a="1"/>
  <c r="AJ515" i="1" a="1"/>
  <c r="AJ516" i="1" a="1"/>
  <c r="AJ517" i="1" a="1"/>
  <c r="AJ518" i="1" a="1"/>
  <c r="AJ519" i="1" a="1"/>
  <c r="AJ520" i="1" a="1"/>
  <c r="AJ521" i="1" a="1"/>
  <c r="AJ522" i="1" a="1"/>
  <c r="AJ523" i="1" a="1"/>
  <c r="AJ524" i="1" a="1"/>
  <c r="AJ525" i="1" a="1"/>
  <c r="AJ526" i="1" a="1"/>
  <c r="AJ527" i="1" a="1"/>
  <c r="AJ528" i="1" a="1"/>
  <c r="AJ529" i="1" a="1"/>
  <c r="AJ530" i="1" a="1"/>
  <c r="AJ531" i="1" a="1"/>
  <c r="AJ532" i="1" a="1"/>
  <c r="AJ533" i="1" a="1"/>
  <c r="AJ534" i="1" a="1"/>
  <c r="AJ535" i="1" a="1"/>
  <c r="AJ536" i="1" a="1"/>
  <c r="AJ537" i="1" a="1"/>
  <c r="AJ538" i="1" a="1"/>
  <c r="AJ539" i="1" a="1"/>
  <c r="AJ540" i="1" a="1"/>
  <c r="AJ541" i="1" a="1"/>
  <c r="AJ542" i="1" a="1"/>
  <c r="AJ543" i="1" a="1"/>
  <c r="AJ544" i="1" a="1"/>
  <c r="AJ545" i="1" a="1"/>
  <c r="AJ546" i="1" a="1"/>
  <c r="AJ547" i="1" a="1"/>
  <c r="AJ548" i="1" a="1"/>
  <c r="AJ549" i="1" a="1"/>
  <c r="AJ550" i="1" a="1"/>
  <c r="AJ551" i="1" a="1"/>
  <c r="AJ552" i="1" a="1"/>
  <c r="AJ553" i="1" a="1"/>
  <c r="AJ554" i="1" a="1"/>
  <c r="AJ555" i="1" a="1"/>
  <c r="AJ556" i="1" a="1"/>
  <c r="AJ557" i="1" a="1"/>
  <c r="AJ558" i="1" a="1"/>
  <c r="AJ559" i="1" a="1"/>
  <c r="AJ560" i="1" a="1"/>
  <c r="AJ561" i="1" a="1"/>
  <c r="AJ562" i="1" a="1"/>
  <c r="AJ563" i="1" a="1"/>
  <c r="AJ564" i="1" a="1"/>
  <c r="AJ565" i="1" a="1"/>
  <c r="AJ566" i="1" a="1"/>
  <c r="AJ567" i="1" a="1"/>
  <c r="AJ568" i="1" a="1"/>
  <c r="AJ569" i="1" a="1"/>
  <c r="AJ570" i="1" a="1"/>
  <c r="AJ571" i="1" a="1"/>
  <c r="AJ572" i="1" a="1"/>
  <c r="AJ573" i="1" a="1"/>
  <c r="AJ574" i="1" a="1"/>
  <c r="AJ575" i="1" a="1"/>
  <c r="AJ576" i="1" a="1"/>
  <c r="AJ577" i="1" a="1"/>
  <c r="AJ578" i="1" a="1"/>
  <c r="AJ579" i="1" a="1"/>
  <c r="AJ580" i="1" a="1"/>
  <c r="AJ581" i="1" a="1"/>
  <c r="AJ582" i="1" a="1"/>
  <c r="AJ583" i="1" a="1"/>
  <c r="AJ584" i="1" a="1"/>
  <c r="AJ585" i="1" a="1"/>
  <c r="AJ586" i="1" a="1"/>
  <c r="AJ587" i="1" a="1"/>
  <c r="AJ588" i="1" a="1"/>
  <c r="AJ589" i="1" a="1"/>
  <c r="AJ590" i="1" a="1"/>
  <c r="AJ591" i="1" a="1"/>
  <c r="AJ592" i="1" a="1"/>
  <c r="AJ593" i="1" a="1"/>
  <c r="AJ594" i="1" a="1"/>
  <c r="AJ595" i="1" a="1"/>
  <c r="AJ596" i="1" a="1"/>
  <c r="AJ597" i="1" a="1"/>
  <c r="AJ598" i="1" a="1"/>
  <c r="AJ599" i="1" a="1"/>
  <c r="AJ600" i="1" a="1"/>
  <c r="AJ601" i="1" a="1"/>
  <c r="AJ602" i="1" a="1"/>
  <c r="AJ603" i="1" a="1"/>
  <c r="AJ604" i="1" a="1"/>
  <c r="AJ605" i="1" a="1"/>
  <c r="AJ606" i="1" a="1"/>
  <c r="AJ607" i="1" a="1"/>
  <c r="AJ608" i="1" a="1"/>
  <c r="AJ609" i="1" a="1"/>
  <c r="AJ610" i="1" a="1"/>
  <c r="AJ611" i="1" a="1"/>
  <c r="AJ612" i="1" a="1"/>
  <c r="AJ613" i="1" a="1"/>
  <c r="AJ614" i="1" a="1"/>
  <c r="AJ615" i="1" a="1"/>
  <c r="AJ616" i="1" a="1"/>
  <c r="AJ617" i="1" a="1"/>
  <c r="AJ618" i="1" a="1"/>
  <c r="AJ619" i="1" a="1"/>
  <c r="AJ620" i="1" a="1"/>
  <c r="AJ621" i="1" a="1"/>
  <c r="AJ622" i="1" a="1"/>
  <c r="AJ623" i="1" a="1"/>
  <c r="AJ624" i="1" a="1"/>
  <c r="AJ625" i="1" a="1"/>
  <c r="AJ626" i="1" a="1"/>
  <c r="AJ627" i="1" a="1"/>
  <c r="AJ628" i="1" a="1"/>
  <c r="AJ629" i="1" a="1"/>
  <c r="AJ630" i="1" a="1"/>
  <c r="AJ631" i="1" a="1"/>
  <c r="AJ632" i="1" a="1"/>
  <c r="AJ633" i="1" a="1"/>
  <c r="AJ634" i="1" a="1"/>
  <c r="AJ635" i="1" a="1"/>
  <c r="AJ636" i="1" a="1"/>
  <c r="AJ637" i="1" a="1"/>
  <c r="AJ638" i="1" a="1"/>
  <c r="AJ639" i="1" a="1"/>
  <c r="AJ640" i="1" a="1"/>
  <c r="AJ641" i="1" a="1"/>
  <c r="AJ642" i="1" a="1"/>
  <c r="AJ643" i="1" a="1"/>
  <c r="AJ644" i="1" a="1"/>
  <c r="AJ645" i="1" a="1"/>
  <c r="AJ646" i="1" a="1"/>
  <c r="AJ647" i="1" a="1"/>
  <c r="AJ648" i="1" a="1"/>
  <c r="AJ649" i="1" a="1"/>
  <c r="AJ650" i="1" a="1"/>
  <c r="AJ651" i="1" a="1"/>
  <c r="AJ652" i="1" a="1"/>
  <c r="AJ653" i="1" a="1"/>
  <c r="AJ654" i="1" a="1"/>
  <c r="AJ655" i="1" a="1"/>
  <c r="AJ656" i="1" a="1"/>
  <c r="AJ657" i="1" a="1"/>
  <c r="AJ658" i="1" a="1"/>
  <c r="AJ659" i="1" a="1"/>
  <c r="AJ660" i="1" a="1"/>
  <c r="AJ661" i="1" a="1"/>
  <c r="AJ662" i="1" a="1"/>
  <c r="AJ663" i="1" a="1"/>
  <c r="AJ664" i="1" a="1"/>
  <c r="AJ665" i="1" a="1"/>
  <c r="AJ666" i="1" a="1"/>
  <c r="AJ667" i="1" a="1"/>
  <c r="AJ668" i="1" a="1"/>
  <c r="AJ669" i="1" a="1"/>
  <c r="AJ670" i="1" a="1"/>
  <c r="AJ671" i="1" a="1"/>
  <c r="AJ672" i="1" a="1"/>
  <c r="AJ673" i="1" a="1"/>
  <c r="AJ674" i="1" a="1"/>
  <c r="AJ675" i="1" a="1"/>
  <c r="AJ676" i="1" a="1"/>
  <c r="AJ677" i="1" a="1"/>
  <c r="AJ678" i="1" a="1"/>
  <c r="AJ679" i="1" a="1"/>
  <c r="AJ680" i="1" a="1"/>
  <c r="AJ681" i="1" a="1"/>
  <c r="AJ682" i="1" a="1"/>
  <c r="AJ683" i="1" a="1"/>
  <c r="AJ684" i="1" a="1"/>
  <c r="AJ685" i="1" a="1"/>
  <c r="AJ686" i="1" a="1"/>
  <c r="AJ687" i="1" a="1"/>
  <c r="AJ688" i="1" a="1"/>
  <c r="AJ689" i="1" a="1"/>
  <c r="AJ690" i="1" a="1"/>
  <c r="AJ691" i="1" a="1"/>
  <c r="AJ692" i="1" a="1"/>
  <c r="AJ693" i="1" a="1"/>
  <c r="AJ694" i="1" a="1"/>
  <c r="AJ695" i="1" a="1"/>
  <c r="AJ696" i="1" a="1"/>
  <c r="AJ697" i="1" a="1"/>
  <c r="AJ698" i="1" a="1"/>
  <c r="AJ699" i="1" a="1"/>
  <c r="AJ700" i="1" a="1"/>
  <c r="AJ701" i="1" a="1"/>
  <c r="AJ702" i="1" a="1"/>
  <c r="AJ703" i="1" a="1"/>
  <c r="AJ704" i="1" a="1"/>
  <c r="AJ705" i="1" a="1"/>
  <c r="AJ706" i="1" a="1"/>
  <c r="AJ707" i="1" a="1"/>
  <c r="AJ708" i="1" a="1"/>
  <c r="AJ709" i="1" a="1"/>
  <c r="AJ710" i="1" a="1"/>
  <c r="AJ711" i="1" a="1"/>
  <c r="AJ712" i="1" a="1"/>
  <c r="AJ713" i="1" a="1"/>
  <c r="AJ714" i="1" a="1"/>
  <c r="AJ715" i="1" a="1"/>
  <c r="AJ716" i="1" a="1"/>
  <c r="AJ717" i="1" a="1"/>
  <c r="AJ718" i="1" a="1"/>
  <c r="AJ719" i="1" a="1"/>
  <c r="AJ720" i="1" a="1"/>
  <c r="AJ721" i="1" a="1"/>
  <c r="AJ722" i="1" a="1"/>
  <c r="AJ723" i="1" a="1"/>
  <c r="AJ724" i="1" a="1"/>
  <c r="AJ725" i="1" a="1"/>
  <c r="AJ726" i="1" a="1"/>
  <c r="AJ727" i="1" a="1"/>
  <c r="AJ728" i="1" a="1"/>
  <c r="AJ729" i="1" a="1"/>
  <c r="AJ730" i="1" a="1"/>
  <c r="AJ731" i="1" a="1"/>
  <c r="AJ732" i="1" a="1"/>
  <c r="AJ733" i="1" a="1"/>
  <c r="AJ734" i="1" a="1"/>
  <c r="AJ735" i="1" a="1"/>
  <c r="AJ736" i="1" a="1"/>
  <c r="AJ737" i="1" a="1"/>
  <c r="AJ738" i="1" a="1"/>
  <c r="AJ739" i="1" a="1"/>
  <c r="AJ740" i="1" a="1"/>
  <c r="AJ741" i="1" a="1"/>
  <c r="AJ742" i="1" a="1"/>
  <c r="AJ743" i="1" a="1"/>
  <c r="AJ744" i="1" a="1"/>
  <c r="AJ745" i="1" a="1"/>
  <c r="AJ746" i="1" a="1"/>
  <c r="AJ747" i="1" a="1"/>
  <c r="AJ748" i="1" a="1"/>
  <c r="AJ749" i="1" a="1"/>
  <c r="AJ750" i="1" a="1"/>
  <c r="AJ751" i="1" a="1"/>
  <c r="AJ752" i="1" a="1"/>
  <c r="AJ753" i="1" a="1"/>
  <c r="AJ754" i="1" a="1"/>
  <c r="AJ755" i="1" a="1"/>
  <c r="AJ756" i="1" a="1"/>
  <c r="AJ757" i="1" a="1"/>
  <c r="AJ758" i="1" a="1"/>
  <c r="AJ759" i="1" a="1"/>
  <c r="AJ760" i="1" a="1"/>
  <c r="AJ761" i="1" a="1"/>
  <c r="AJ762" i="1" a="1"/>
  <c r="AJ763" i="1" a="1"/>
  <c r="AJ764" i="1" a="1"/>
  <c r="AJ765" i="1" a="1"/>
  <c r="AJ766" i="1" a="1"/>
  <c r="AJ767" i="1" a="1"/>
  <c r="AJ768" i="1" a="1"/>
  <c r="AJ769" i="1" a="1"/>
  <c r="AJ770" i="1" a="1"/>
  <c r="AJ771" i="1" a="1"/>
  <c r="AJ772" i="1" a="1"/>
  <c r="AJ773" i="1" a="1"/>
  <c r="AJ774" i="1" a="1"/>
  <c r="AJ775" i="1" a="1"/>
  <c r="AJ776" i="1" a="1"/>
  <c r="AJ777" i="1" a="1"/>
  <c r="AJ778" i="1" a="1"/>
  <c r="AJ779" i="1" a="1"/>
  <c r="AJ780" i="1" a="1"/>
  <c r="AJ781" i="1" a="1"/>
  <c r="AJ782" i="1" a="1"/>
  <c r="AJ783" i="1" a="1"/>
  <c r="AJ784" i="1" a="1"/>
  <c r="AJ785" i="1" a="1"/>
  <c r="AJ786" i="1" a="1"/>
  <c r="AJ787" i="1" a="1"/>
  <c r="AJ788" i="1" a="1"/>
  <c r="AJ789" i="1" a="1"/>
  <c r="AJ790" i="1" a="1"/>
  <c r="AJ791" i="1" a="1"/>
  <c r="AJ792" i="1" a="1"/>
  <c r="AJ793" i="1" a="1"/>
  <c r="AJ794" i="1" a="1"/>
  <c r="AJ795" i="1" a="1"/>
  <c r="AJ796" i="1" a="1"/>
  <c r="AJ797" i="1" a="1"/>
  <c r="AJ798" i="1" a="1"/>
  <c r="AJ799" i="1" a="1"/>
  <c r="AJ800" i="1" a="1"/>
  <c r="AJ801" i="1" a="1"/>
  <c r="AJ802" i="1" a="1"/>
  <c r="AJ803" i="1" a="1"/>
  <c r="AJ804" i="1" a="1"/>
  <c r="AJ805" i="1" a="1"/>
  <c r="AJ806" i="1" a="1"/>
  <c r="AJ807" i="1" a="1"/>
  <c r="AJ808" i="1" a="1"/>
  <c r="AJ809" i="1" a="1"/>
  <c r="AJ810" i="1" a="1"/>
  <c r="AJ811" i="1" a="1"/>
  <c r="AJ812" i="1" a="1"/>
  <c r="AJ813" i="1" a="1"/>
  <c r="AJ814" i="1" a="1"/>
  <c r="AJ815" i="1" a="1"/>
  <c r="AJ816" i="1" a="1"/>
  <c r="AJ817" i="1" a="1"/>
  <c r="AJ818" i="1" a="1"/>
  <c r="AJ819" i="1" a="1"/>
  <c r="AJ820" i="1" a="1"/>
  <c r="AJ821" i="1" a="1"/>
  <c r="AJ822" i="1" a="1"/>
  <c r="AJ823" i="1" a="1"/>
  <c r="AJ824" i="1" a="1"/>
  <c r="AJ825" i="1" a="1"/>
  <c r="AJ826" i="1" a="1"/>
  <c r="AJ827" i="1" a="1"/>
  <c r="AJ828" i="1" a="1"/>
  <c r="AJ829" i="1" a="1"/>
  <c r="AJ830" i="1" a="1"/>
  <c r="AJ831" i="1" a="1"/>
  <c r="AJ832" i="1" a="1"/>
  <c r="AJ833" i="1" a="1"/>
  <c r="AJ834" i="1" a="1"/>
  <c r="AJ835" i="1" a="1"/>
  <c r="AJ836" i="1" a="1"/>
  <c r="AJ837" i="1" a="1"/>
  <c r="AJ838" i="1" a="1"/>
  <c r="AJ839" i="1" a="1"/>
  <c r="AJ840" i="1" a="1"/>
  <c r="AJ841" i="1" a="1"/>
  <c r="AJ842" i="1" a="1"/>
  <c r="AJ843" i="1" a="1"/>
  <c r="AJ844" i="1" a="1"/>
  <c r="AJ845" i="1" a="1"/>
  <c r="AJ846" i="1" a="1"/>
  <c r="AJ847" i="1" a="1"/>
  <c r="AJ848" i="1" a="1"/>
  <c r="AJ849" i="1" a="1"/>
  <c r="AJ850" i="1" a="1"/>
  <c r="AJ851" i="1" a="1"/>
  <c r="AJ852" i="1" a="1"/>
  <c r="AJ853" i="1" a="1"/>
  <c r="AJ854" i="1" a="1"/>
  <c r="AJ855" i="1" a="1"/>
  <c r="AJ856" i="1" a="1"/>
  <c r="AJ857" i="1" a="1"/>
  <c r="AJ858" i="1" a="1"/>
  <c r="AJ859" i="1" a="1"/>
  <c r="AJ860" i="1" a="1"/>
  <c r="AJ861" i="1" a="1"/>
  <c r="AJ862" i="1" a="1"/>
  <c r="AJ863" i="1" a="1"/>
  <c r="AJ864" i="1" a="1"/>
  <c r="AJ865" i="1" a="1"/>
  <c r="AJ866" i="1" a="1"/>
  <c r="AJ867" i="1" a="1"/>
  <c r="AJ868" i="1" a="1"/>
  <c r="AJ869" i="1" a="1"/>
  <c r="AJ870" i="1" a="1"/>
  <c r="AJ871" i="1" a="1"/>
  <c r="AJ872" i="1" a="1"/>
  <c r="AJ873" i="1" a="1"/>
  <c r="AJ874" i="1" a="1"/>
  <c r="AJ875" i="1" a="1"/>
  <c r="AJ876" i="1" a="1"/>
  <c r="AJ877" i="1" a="1"/>
  <c r="AJ878" i="1" a="1"/>
  <c r="AJ879" i="1" a="1"/>
  <c r="AJ880" i="1" a="1"/>
  <c r="AJ881" i="1" a="1"/>
  <c r="AJ882" i="1" a="1"/>
  <c r="AJ883" i="1" a="1"/>
  <c r="AJ884" i="1" a="1"/>
  <c r="AJ885" i="1" a="1"/>
  <c r="AJ886" i="1" a="1"/>
  <c r="AJ887" i="1" a="1"/>
  <c r="AJ888" i="1" a="1"/>
  <c r="AJ889" i="1" a="1"/>
  <c r="AJ890" i="1" a="1"/>
  <c r="AJ891" i="1" a="1"/>
  <c r="AJ892" i="1" a="1"/>
  <c r="AJ893" i="1" a="1"/>
  <c r="AJ894" i="1" a="1"/>
  <c r="AJ895" i="1" a="1"/>
  <c r="AJ896" i="1" a="1"/>
  <c r="AJ897" i="1" a="1"/>
  <c r="AJ898" i="1" a="1"/>
  <c r="AJ899" i="1" a="1"/>
  <c r="AJ900" i="1" a="1"/>
  <c r="AJ901" i="1" a="1"/>
  <c r="AJ902" i="1" a="1"/>
  <c r="AJ903" i="1" a="1"/>
  <c r="AJ904" i="1" a="1"/>
  <c r="AJ905" i="1" a="1"/>
  <c r="AJ906" i="1" a="1"/>
  <c r="AJ907" i="1" a="1"/>
  <c r="AJ908" i="1" a="1"/>
  <c r="AJ909" i="1" a="1"/>
  <c r="AJ910" i="1" a="1"/>
  <c r="AJ911" i="1" a="1"/>
  <c r="AJ912" i="1" a="1"/>
  <c r="AJ913" i="1" a="1"/>
  <c r="AJ914" i="1" a="1"/>
  <c r="AJ915" i="1" a="1"/>
  <c r="AJ916" i="1" a="1"/>
  <c r="AJ917" i="1" a="1"/>
  <c r="AJ918" i="1" a="1"/>
  <c r="AJ919" i="1" a="1"/>
  <c r="AJ920" i="1" a="1"/>
  <c r="AJ921" i="1" a="1"/>
  <c r="AJ922" i="1" a="1"/>
  <c r="AJ923" i="1" a="1"/>
  <c r="AJ924" i="1" a="1"/>
  <c r="AJ925" i="1" a="1"/>
  <c r="AJ926" i="1" a="1"/>
  <c r="AJ927" i="1" a="1"/>
  <c r="AJ928" i="1" a="1"/>
  <c r="AJ929" i="1" a="1"/>
  <c r="AJ930" i="1" a="1"/>
  <c r="AJ931" i="1" a="1"/>
  <c r="AJ932" i="1" a="1"/>
  <c r="AJ933" i="1" a="1"/>
  <c r="AJ934" i="1" a="1"/>
  <c r="AJ935" i="1" a="1"/>
  <c r="AJ936" i="1" a="1"/>
  <c r="AJ937" i="1" a="1"/>
  <c r="AJ938" i="1" a="1"/>
  <c r="AJ939" i="1" a="1"/>
  <c r="AJ940" i="1" a="1"/>
  <c r="AJ941" i="1" a="1"/>
  <c r="AJ942" i="1" a="1"/>
  <c r="AJ943" i="1" a="1"/>
  <c r="AJ944" i="1" a="1"/>
  <c r="AJ945" i="1" a="1"/>
  <c r="AJ946" i="1" a="1"/>
  <c r="AJ947" i="1" a="1"/>
  <c r="AJ948" i="1" a="1"/>
  <c r="AJ949" i="1" a="1"/>
  <c r="AJ950" i="1" a="1"/>
  <c r="AJ951" i="1" a="1"/>
  <c r="AJ952" i="1" a="1"/>
  <c r="AJ953" i="1" a="1"/>
  <c r="AJ954" i="1" a="1"/>
  <c r="AJ955" i="1" a="1"/>
  <c r="AJ956" i="1" a="1"/>
  <c r="AJ957" i="1" a="1"/>
  <c r="AJ958" i="1" a="1"/>
  <c r="AJ959" i="1" a="1"/>
  <c r="AJ960" i="1" a="1"/>
  <c r="AJ961" i="1" a="1"/>
  <c r="AJ962" i="1" a="1"/>
  <c r="AJ963" i="1" a="1"/>
  <c r="AJ964" i="1" a="1"/>
  <c r="AJ965" i="1" a="1"/>
  <c r="AJ966" i="1" a="1"/>
  <c r="AJ967" i="1" a="1"/>
  <c r="AJ968" i="1" a="1"/>
  <c r="AJ969" i="1" a="1"/>
  <c r="AJ970" i="1" a="1"/>
  <c r="AJ971" i="1" a="1"/>
  <c r="AJ972" i="1" a="1"/>
  <c r="AJ973" i="1" a="1"/>
  <c r="AJ974" i="1" a="1"/>
  <c r="AJ975" i="1" a="1"/>
  <c r="AJ976" i="1" a="1"/>
  <c r="AJ977" i="1" a="1"/>
  <c r="AJ978" i="1" a="1"/>
  <c r="AJ979" i="1" a="1"/>
  <c r="AJ980" i="1" a="1"/>
  <c r="AJ981" i="1" a="1"/>
  <c r="AJ982" i="1" a="1"/>
  <c r="AJ983" i="1" a="1"/>
  <c r="AJ984" i="1" a="1"/>
  <c r="AJ985" i="1" a="1"/>
  <c r="AJ986" i="1" a="1"/>
  <c r="AJ987" i="1" a="1"/>
  <c r="AJ988" i="1" a="1"/>
  <c r="AJ989" i="1" a="1"/>
  <c r="AJ990" i="1" a="1"/>
  <c r="AJ991" i="1" a="1"/>
  <c r="AJ992" i="1" a="1"/>
  <c r="AJ993" i="1" a="1"/>
  <c r="AJ994" i="1" a="1"/>
  <c r="AJ995" i="1" a="1"/>
  <c r="AJ996" i="1" a="1"/>
  <c r="AJ997" i="1" a="1"/>
  <c r="AJ998" i="1" a="1"/>
  <c r="AJ999" i="1" a="1"/>
  <c r="AJ1000" i="1" a="1"/>
  <c r="AJ1001" i="1" a="1"/>
  <c r="AJ1002" i="1" a="1"/>
  <c r="AJ1003" i="1" a="1"/>
  <c r="AJ1004" i="1" a="1"/>
  <c r="AJ1005" i="1" a="1"/>
  <c r="AJ1006" i="1" a="1"/>
  <c r="AJ1007" i="1" a="1"/>
  <c r="AJ1008" i="1" a="1"/>
  <c r="AJ1009" i="1" a="1"/>
  <c r="AJ1010" i="1" a="1"/>
  <c r="AJ1011" i="1" a="1"/>
  <c r="AJ1012" i="1" a="1"/>
  <c r="AJ1013" i="1" a="1"/>
  <c r="AJ1014" i="1" a="1"/>
  <c r="AJ1015" i="1" a="1"/>
  <c r="AJ1016" i="1" a="1"/>
  <c r="AJ1017" i="1" a="1"/>
  <c r="AJ1018" i="1" a="1"/>
  <c r="AJ1019" i="1" a="1"/>
  <c r="AJ1020" i="1" a="1"/>
  <c r="AJ1021" i="1" a="1"/>
  <c r="AJ1022" i="1" a="1"/>
  <c r="AJ1023" i="1" a="1"/>
  <c r="AJ1024" i="1" a="1"/>
  <c r="AJ1025" i="1" a="1"/>
  <c r="AJ1026" i="1" a="1"/>
  <c r="AJ1027" i="1" a="1"/>
  <c r="AJ1028" i="1" a="1"/>
  <c r="AJ1029" i="1" a="1"/>
  <c r="AJ1030" i="1" a="1"/>
  <c r="AJ1031" i="1" a="1"/>
  <c r="AJ1032" i="1" a="1"/>
  <c r="AJ1033" i="1" a="1"/>
  <c r="AJ1034" i="1" a="1"/>
  <c r="AJ1035" i="1" a="1"/>
  <c r="AJ1036" i="1" a="1"/>
  <c r="AJ1037" i="1" a="1"/>
  <c r="AJ1038" i="1" a="1"/>
  <c r="AJ1039" i="1" a="1"/>
  <c r="AJ1040" i="1" a="1"/>
  <c r="AJ1041" i="1" a="1"/>
  <c r="AJ1042" i="1" a="1"/>
  <c r="AJ1043" i="1" a="1"/>
  <c r="AJ1044" i="1" a="1"/>
  <c r="AJ1045" i="1" a="1"/>
  <c r="AJ1046" i="1" a="1"/>
  <c r="AJ1047" i="1" a="1"/>
  <c r="AJ1048" i="1" a="1"/>
  <c r="AJ1049" i="1" a="1"/>
  <c r="AJ1050" i="1" a="1"/>
  <c r="AJ1051" i="1" a="1"/>
  <c r="AJ1052" i="1" a="1"/>
  <c r="AJ1053" i="1" a="1"/>
  <c r="AJ1054" i="1" a="1"/>
  <c r="AJ1055" i="1" a="1"/>
  <c r="AJ1056" i="1" a="1"/>
  <c r="AJ1057" i="1" a="1"/>
  <c r="AJ1058" i="1" a="1"/>
  <c r="AJ1059" i="1" a="1"/>
  <c r="AJ1060" i="1" a="1"/>
  <c r="AJ1061" i="1" a="1"/>
  <c r="AJ1062" i="1" a="1"/>
  <c r="AJ1063" i="1" a="1"/>
  <c r="AJ1064" i="1" a="1"/>
  <c r="AJ1065" i="1" a="1"/>
  <c r="AJ1066" i="1" a="1"/>
  <c r="AJ1067" i="1" a="1"/>
  <c r="AJ1068" i="1" a="1"/>
  <c r="AJ1069" i="1" a="1"/>
  <c r="AJ1070" i="1" a="1"/>
  <c r="AJ1071" i="1" a="1"/>
  <c r="AJ1072" i="1" a="1"/>
  <c r="AJ1073" i="1" a="1"/>
  <c r="AJ1074" i="1" a="1"/>
  <c r="AJ1075" i="1" a="1"/>
  <c r="AJ1076" i="1" a="1"/>
  <c r="AJ1077" i="1" a="1"/>
  <c r="AJ1078" i="1" a="1"/>
  <c r="AJ1079" i="1" a="1"/>
  <c r="AJ1080" i="1" a="1"/>
  <c r="AJ1081" i="1" a="1"/>
  <c r="AJ1082" i="1" a="1"/>
  <c r="AJ1083" i="1" a="1"/>
  <c r="AJ1084" i="1" a="1"/>
  <c r="AJ1085" i="1" a="1"/>
  <c r="AJ1086" i="1" a="1"/>
  <c r="AJ1087" i="1" a="1"/>
  <c r="AJ1088" i="1" a="1"/>
  <c r="AJ1089" i="1" a="1"/>
  <c r="AJ1090" i="1" a="1"/>
  <c r="AJ1091" i="1" a="1"/>
  <c r="AJ1092" i="1" a="1"/>
  <c r="AJ1093" i="1" a="1"/>
  <c r="AJ1094" i="1" a="1"/>
  <c r="AJ1095" i="1" a="1"/>
  <c r="AJ1096" i="1" a="1"/>
  <c r="AJ1097" i="1" a="1"/>
  <c r="AJ1098" i="1" a="1"/>
  <c r="AJ1099" i="1" a="1"/>
  <c r="AJ1100" i="1" a="1"/>
  <c r="AJ1101" i="1" a="1"/>
  <c r="AJ1102" i="1" a="1"/>
  <c r="AJ1103" i="1" a="1"/>
  <c r="AJ1104" i="1" a="1"/>
  <c r="AJ1105" i="1" a="1"/>
  <c r="AJ1106" i="1" a="1"/>
  <c r="AJ1107" i="1" a="1"/>
  <c r="AJ1108" i="1" a="1"/>
  <c r="AJ1109" i="1" a="1"/>
  <c r="AJ1110" i="1" a="1"/>
  <c r="AJ1111" i="1" a="1"/>
  <c r="AJ1112" i="1" a="1"/>
  <c r="AJ1113" i="1" a="1"/>
  <c r="AJ1114" i="1" a="1"/>
  <c r="AJ1115" i="1" a="1"/>
  <c r="AJ1116" i="1" a="1"/>
  <c r="AJ1117" i="1" a="1"/>
  <c r="AJ1118" i="1" a="1"/>
  <c r="AJ1119" i="1" a="1"/>
  <c r="AJ1120" i="1" a="1"/>
  <c r="AJ1121" i="1" a="1"/>
  <c r="AJ1122" i="1" a="1"/>
  <c r="AJ1123" i="1" a="1"/>
  <c r="AJ1124" i="1" a="1"/>
  <c r="AJ1125" i="1" a="1"/>
  <c r="AJ1126" i="1" a="1"/>
  <c r="AJ1127" i="1" a="1"/>
  <c r="AJ1128" i="1" a="1"/>
  <c r="AJ1129" i="1" a="1"/>
  <c r="AJ1130" i="1" a="1"/>
  <c r="AJ1131" i="1" a="1"/>
  <c r="AJ1132" i="1" a="1"/>
  <c r="AJ1133" i="1" a="1"/>
  <c r="AJ1134" i="1" a="1"/>
  <c r="AJ1135" i="1" a="1"/>
  <c r="AJ1136" i="1" a="1"/>
  <c r="AJ1137" i="1" a="1"/>
  <c r="AJ1138" i="1" a="1"/>
  <c r="AJ1139" i="1" a="1"/>
  <c r="AJ1140" i="1" a="1"/>
  <c r="AJ1141" i="1" a="1"/>
  <c r="AJ1142" i="1" a="1"/>
  <c r="AJ1143" i="1" a="1"/>
  <c r="AJ1144" i="1" a="1"/>
  <c r="AJ1145" i="1" a="1"/>
  <c r="AJ1146" i="1" a="1"/>
  <c r="AJ1147" i="1" a="1"/>
  <c r="AJ1148" i="1" a="1"/>
  <c r="AJ1149" i="1" a="1"/>
  <c r="AJ1150" i="1" a="1"/>
  <c r="AJ1151" i="1" a="1"/>
  <c r="AJ1152" i="1" a="1"/>
  <c r="AJ1153" i="1" a="1"/>
  <c r="AJ1154" i="1" a="1"/>
  <c r="AJ1155" i="1" a="1"/>
  <c r="AJ1156" i="1" a="1"/>
  <c r="AJ1157" i="1" a="1"/>
  <c r="AJ1158" i="1" a="1"/>
  <c r="AJ1159" i="1" a="1"/>
  <c r="AJ1160" i="1" a="1"/>
  <c r="AJ1161" i="1" a="1"/>
  <c r="AJ1162" i="1" a="1"/>
  <c r="AJ1163" i="1" a="1"/>
  <c r="AJ1164" i="1" a="1"/>
  <c r="AJ1165" i="1" a="1"/>
  <c r="AJ1166" i="1" a="1"/>
  <c r="AJ1167" i="1" a="1"/>
  <c r="AJ1168" i="1" a="1"/>
  <c r="AJ1169" i="1" a="1"/>
  <c r="AJ1170" i="1" a="1"/>
  <c r="AJ1171" i="1" a="1"/>
  <c r="AJ1172" i="1" a="1"/>
  <c r="AJ1173" i="1" a="1"/>
  <c r="AJ1174" i="1" a="1"/>
  <c r="AJ1175" i="1" a="1"/>
  <c r="AJ1176" i="1" a="1"/>
  <c r="AJ1177" i="1" a="1"/>
  <c r="AJ1178" i="1" a="1"/>
  <c r="AJ1179" i="1" a="1"/>
  <c r="AJ1180" i="1" a="1"/>
  <c r="AJ1181" i="1" a="1"/>
  <c r="AJ1182" i="1" a="1"/>
  <c r="AJ1183" i="1" a="1"/>
  <c r="AJ1184" i="1" a="1"/>
  <c r="AJ1185" i="1" a="1"/>
  <c r="AJ1186" i="1" a="1"/>
  <c r="AJ1187" i="1" a="1"/>
  <c r="AJ1188" i="1" a="1"/>
  <c r="AJ1189" i="1" a="1"/>
  <c r="AJ1190" i="1" a="1"/>
  <c r="AJ1191" i="1" a="1"/>
  <c r="AJ1192" i="1" a="1"/>
  <c r="AJ1193" i="1" a="1"/>
  <c r="AJ1194" i="1" a="1"/>
  <c r="AJ1195" i="1" a="1"/>
  <c r="AJ1196" i="1" a="1"/>
  <c r="AJ1197" i="1" a="1"/>
  <c r="AJ1198" i="1" a="1"/>
  <c r="AJ1199" i="1" a="1"/>
  <c r="AJ1200" i="1" a="1"/>
  <c r="AJ1201" i="1" a="1"/>
  <c r="AJ1202" i="1" a="1"/>
  <c r="AJ1203" i="1" a="1"/>
  <c r="AJ1204" i="1" a="1"/>
  <c r="AJ1205" i="1" a="1"/>
  <c r="AJ1206" i="1" a="1"/>
  <c r="AJ1207" i="1" a="1"/>
  <c r="AJ1208" i="1" a="1"/>
  <c r="AJ1209" i="1" a="1"/>
  <c r="AJ1210" i="1" a="1"/>
  <c r="AJ1211" i="1" a="1"/>
  <c r="AJ1212" i="1" a="1"/>
  <c r="AJ1213" i="1" a="1"/>
  <c r="AJ1214" i="1" a="1"/>
  <c r="AJ1215" i="1" a="1"/>
  <c r="AJ1216" i="1" a="1"/>
  <c r="AJ1217" i="1" a="1"/>
  <c r="AJ1218" i="1" a="1"/>
  <c r="AJ1219" i="1" a="1"/>
  <c r="AJ1220" i="1" a="1"/>
  <c r="AJ1221" i="1" a="1"/>
  <c r="AJ1222" i="1" a="1"/>
  <c r="AJ1223" i="1" a="1"/>
  <c r="AJ1224" i="1" a="1"/>
  <c r="AJ1225" i="1" a="1"/>
  <c r="AJ1226" i="1" a="1"/>
  <c r="AJ1227" i="1" a="1"/>
  <c r="AJ1228" i="1" a="1"/>
  <c r="AJ1229" i="1" a="1"/>
  <c r="AJ1230" i="1" a="1"/>
  <c r="AJ1231" i="1" a="1"/>
  <c r="AJ1232" i="1" a="1"/>
  <c r="AJ1233" i="1" a="1"/>
  <c r="AJ1234" i="1" a="1"/>
  <c r="AJ1235" i="1" a="1"/>
  <c r="AJ1236" i="1" a="1"/>
  <c r="AJ1237" i="1" a="1"/>
  <c r="AJ1238" i="1" a="1"/>
  <c r="AJ1239" i="1" a="1"/>
  <c r="AJ1240" i="1" a="1"/>
  <c r="AJ1241" i="1" a="1"/>
  <c r="AJ1242" i="1" a="1"/>
  <c r="AJ1243" i="1" a="1"/>
  <c r="AJ1244" i="1" a="1"/>
  <c r="AJ1245" i="1" a="1"/>
  <c r="AJ1246" i="1" a="1"/>
  <c r="AJ1247" i="1" a="1"/>
  <c r="AJ1248" i="1" a="1"/>
  <c r="AJ1249" i="1" a="1"/>
  <c r="AJ1250" i="1" a="1"/>
  <c r="AJ1251" i="1" a="1"/>
  <c r="AJ1252" i="1" a="1"/>
  <c r="AJ1253" i="1" a="1"/>
  <c r="AJ1254" i="1" a="1"/>
  <c r="AJ1255" i="1" a="1"/>
  <c r="AJ1256" i="1" a="1"/>
  <c r="AJ1257" i="1" a="1"/>
  <c r="AJ1258" i="1" a="1"/>
  <c r="AJ1259" i="1" a="1"/>
  <c r="AJ1260" i="1" a="1"/>
  <c r="AJ1261" i="1" a="1"/>
  <c r="AJ1262" i="1" a="1"/>
  <c r="AJ1263" i="1" a="1"/>
  <c r="AJ1264" i="1" a="1"/>
  <c r="AJ1265" i="1" a="1"/>
  <c r="AJ1266" i="1" a="1"/>
  <c r="AJ1267" i="1" a="1"/>
  <c r="AJ1268" i="1" a="1"/>
  <c r="AJ1269" i="1" a="1"/>
  <c r="AJ1270" i="1" a="1"/>
  <c r="AJ1271" i="1" a="1"/>
  <c r="AJ1272" i="1" a="1"/>
  <c r="AJ1273" i="1" a="1"/>
  <c r="AJ1274" i="1" a="1"/>
  <c r="AJ1275" i="1" a="1"/>
  <c r="AJ1276" i="1" a="1"/>
  <c r="AJ1277" i="1" a="1"/>
  <c r="AJ1278" i="1" a="1"/>
  <c r="AJ1279" i="1" a="1"/>
  <c r="AJ1280" i="1" a="1"/>
  <c r="AJ1281" i="1" a="1"/>
  <c r="AJ1282" i="1" a="1"/>
  <c r="AJ1283" i="1" a="1"/>
  <c r="AJ1284" i="1" a="1"/>
  <c r="AJ1285" i="1" a="1"/>
  <c r="AJ1286" i="1" a="1"/>
  <c r="AJ1287" i="1" a="1"/>
  <c r="AJ1288" i="1" a="1"/>
  <c r="AJ1289" i="1" a="1"/>
  <c r="AJ1290" i="1" a="1"/>
  <c r="AJ1291" i="1" a="1"/>
  <c r="AJ1292" i="1" a="1"/>
  <c r="AJ1293" i="1" a="1"/>
  <c r="AJ1294" i="1" a="1"/>
  <c r="AJ1295" i="1" a="1"/>
  <c r="AJ1296" i="1" a="1"/>
  <c r="AJ1297" i="1" a="1"/>
  <c r="AJ1298" i="1" a="1"/>
  <c r="AJ1299" i="1" a="1"/>
  <c r="AJ1300" i="1" a="1"/>
  <c r="AJ1301" i="1" a="1"/>
  <c r="AJ1302" i="1" a="1"/>
  <c r="AJ1303" i="1" a="1"/>
  <c r="AJ1304" i="1" a="1"/>
  <c r="AJ1305" i="1" a="1"/>
  <c r="AJ1306" i="1" a="1"/>
  <c r="AJ1307" i="1" a="1"/>
  <c r="AJ1308" i="1" a="1"/>
  <c r="AJ1309" i="1" a="1"/>
  <c r="AJ1310" i="1" a="1"/>
  <c r="AJ1311" i="1" a="1"/>
  <c r="AJ1312" i="1" a="1"/>
  <c r="AJ1313" i="1" a="1"/>
  <c r="AJ1314" i="1" a="1"/>
  <c r="AJ1315" i="1" a="1"/>
  <c r="AJ1316" i="1" a="1"/>
  <c r="AJ1317" i="1" a="1"/>
  <c r="AJ1318" i="1" a="1"/>
  <c r="AJ1319" i="1" a="1"/>
  <c r="AJ1320" i="1" a="1"/>
  <c r="AJ1321" i="1" a="1"/>
  <c r="AJ1322" i="1" a="1"/>
  <c r="AJ1323" i="1" a="1"/>
  <c r="AJ1324" i="1" a="1"/>
  <c r="AJ1325" i="1" a="1"/>
  <c r="AJ1326" i="1" a="1"/>
  <c r="AJ1327" i="1" a="1"/>
  <c r="AJ1328" i="1" a="1"/>
  <c r="AJ1329" i="1" a="1"/>
  <c r="AJ1330" i="1" a="1"/>
  <c r="AJ1331" i="1" a="1"/>
  <c r="AJ1332" i="1" a="1"/>
  <c r="AJ1333" i="1" a="1"/>
  <c r="AJ1334" i="1" a="1"/>
  <c r="AJ1335" i="1" a="1"/>
  <c r="AJ1336" i="1" a="1"/>
  <c r="AJ1337" i="1" a="1"/>
  <c r="AJ1338" i="1" a="1"/>
  <c r="AJ1339" i="1" a="1"/>
  <c r="AJ1340" i="1" a="1"/>
  <c r="AJ1341" i="1" a="1"/>
  <c r="AJ1342" i="1" a="1"/>
  <c r="AJ1343" i="1" a="1"/>
  <c r="AJ1344" i="1" a="1"/>
  <c r="AJ1345" i="1" a="1"/>
  <c r="AJ1346" i="1" a="1"/>
  <c r="AJ1347" i="1" a="1"/>
  <c r="AJ1348" i="1" a="1"/>
  <c r="AJ1349" i="1" a="1"/>
  <c r="AJ1350" i="1" a="1"/>
  <c r="AJ1351" i="1" a="1"/>
  <c r="AJ1352" i="1" a="1"/>
  <c r="AJ1353" i="1" a="1"/>
  <c r="AJ1354" i="1" a="1"/>
  <c r="AJ1355" i="1" a="1"/>
  <c r="AJ1356" i="1" a="1"/>
  <c r="AJ1357" i="1" a="1"/>
  <c r="AJ1358" i="1" a="1"/>
  <c r="AJ1359" i="1" a="1"/>
  <c r="AJ1360" i="1" a="1"/>
  <c r="AJ1361" i="1" a="1"/>
  <c r="AJ1362" i="1" a="1"/>
  <c r="AJ1363" i="1" a="1"/>
  <c r="AJ1364" i="1" a="1"/>
  <c r="AJ1365" i="1" a="1"/>
  <c r="AJ1366" i="1" a="1"/>
  <c r="AJ1367" i="1" a="1"/>
  <c r="AJ1368" i="1" a="1"/>
  <c r="AJ1369" i="1" a="1"/>
  <c r="AJ1370" i="1" a="1"/>
  <c r="AJ1371" i="1" a="1"/>
  <c r="AJ1372" i="1" a="1"/>
  <c r="AJ1373" i="1" a="1"/>
  <c r="AJ1374" i="1" a="1"/>
  <c r="AJ1375" i="1" a="1"/>
  <c r="AJ1376" i="1" a="1"/>
  <c r="AJ1377" i="1" a="1"/>
  <c r="AJ1378" i="1" a="1"/>
  <c r="AJ1379" i="1" a="1"/>
  <c r="AJ1380" i="1" a="1"/>
  <c r="AJ1381" i="1" a="1"/>
  <c r="AJ1382" i="1" a="1"/>
  <c r="AJ1383" i="1" a="1"/>
  <c r="AJ1384" i="1" a="1"/>
  <c r="AJ1385" i="1" a="1"/>
  <c r="AJ1386" i="1" a="1"/>
  <c r="AJ1387" i="1" a="1"/>
  <c r="AJ1388" i="1" a="1"/>
  <c r="AJ1389" i="1" a="1"/>
  <c r="AJ1390" i="1" a="1"/>
  <c r="AJ1391" i="1" a="1"/>
  <c r="AJ1392" i="1" a="1"/>
  <c r="AJ1393" i="1" a="1"/>
  <c r="AJ1394" i="1" a="1"/>
  <c r="AJ1395" i="1" a="1"/>
  <c r="AJ1396" i="1" a="1"/>
  <c r="AJ1397" i="1" a="1"/>
  <c r="AJ1398" i="1" a="1"/>
  <c r="AJ1399" i="1" a="1"/>
  <c r="AJ1400" i="1" a="1"/>
  <c r="AJ1401" i="1" a="1"/>
  <c r="AJ1402" i="1" a="1"/>
  <c r="AJ1403" i="1" a="1"/>
  <c r="AJ1404" i="1" a="1"/>
  <c r="AJ1405" i="1" a="1"/>
  <c r="AJ1406" i="1" a="1"/>
  <c r="AJ1407" i="1" a="1"/>
  <c r="AJ1408" i="1" a="1"/>
  <c r="AJ1409" i="1" a="1"/>
  <c r="AJ1410" i="1" a="1"/>
  <c r="AJ1411" i="1" a="1"/>
  <c r="AJ1412" i="1" a="1"/>
  <c r="AJ1413" i="1" a="1"/>
  <c r="AJ1414" i="1" a="1"/>
  <c r="AJ1415" i="1" a="1"/>
  <c r="AJ1416" i="1" a="1"/>
  <c r="AJ1417" i="1" a="1"/>
  <c r="AJ1418" i="1" a="1"/>
  <c r="AJ1419" i="1" a="1"/>
  <c r="AJ1420" i="1" a="1"/>
  <c r="AJ1421" i="1" a="1"/>
  <c r="AJ1422" i="1" a="1"/>
  <c r="AJ1423" i="1" a="1"/>
  <c r="AJ1424" i="1" a="1"/>
  <c r="AJ1425" i="1" a="1"/>
  <c r="AJ1426" i="1" a="1"/>
  <c r="AJ1427" i="1" a="1"/>
  <c r="AJ1428" i="1" a="1"/>
  <c r="AJ1429" i="1" a="1"/>
  <c r="AJ1430" i="1" a="1"/>
  <c r="AJ1431" i="1" a="1"/>
  <c r="AJ1432" i="1" a="1"/>
  <c r="AJ1433" i="1" a="1"/>
  <c r="AJ1434" i="1" a="1"/>
  <c r="AJ1435" i="1" a="1"/>
  <c r="AJ1436" i="1" a="1"/>
  <c r="AJ1437" i="1" a="1"/>
  <c r="AJ1438" i="1" a="1"/>
  <c r="AJ1439" i="1" a="1"/>
  <c r="AJ1440" i="1" a="1"/>
  <c r="AJ1441" i="1" a="1"/>
  <c r="AJ1442" i="1" a="1"/>
  <c r="AJ1443" i="1" a="1"/>
  <c r="AJ1444" i="1" a="1"/>
  <c r="AJ1445" i="1" a="1"/>
  <c r="AJ1446" i="1" a="1"/>
  <c r="AJ1447" i="1" a="1"/>
  <c r="AJ1448" i="1" a="1"/>
  <c r="AJ1449" i="1" a="1"/>
  <c r="AJ1450" i="1" a="1"/>
  <c r="AJ1451" i="1" a="1"/>
  <c r="AJ1452" i="1" a="1"/>
  <c r="AJ1453" i="1" a="1"/>
  <c r="AJ1454" i="1" a="1"/>
  <c r="AJ1455" i="1" a="1"/>
  <c r="AJ1456" i="1" a="1"/>
  <c r="AJ1457" i="1" a="1"/>
  <c r="AJ1458" i="1" a="1"/>
  <c r="AJ1459" i="1" a="1"/>
  <c r="AJ1460" i="1" a="1"/>
  <c r="AJ1461" i="1" a="1"/>
  <c r="AJ1462" i="1" a="1"/>
  <c r="AJ1463" i="1" a="1"/>
  <c r="AJ1464" i="1" a="1"/>
  <c r="AJ1465" i="1" a="1"/>
  <c r="AJ1466" i="1" a="1"/>
  <c r="AJ1467" i="1" a="1"/>
  <c r="AJ1468" i="1" a="1"/>
  <c r="AJ1469" i="1" a="1"/>
  <c r="AJ1470" i="1" a="1"/>
  <c r="AJ1471" i="1" a="1"/>
  <c r="D5" i="6" l="1"/>
  <c r="D6" i="6"/>
  <c r="D2" i="6"/>
  <c r="D3" i="6"/>
  <c r="E2" i="3"/>
  <c r="C8" i="6"/>
  <c r="C9" i="6"/>
  <c r="D8" i="6"/>
  <c r="D9" i="6"/>
  <c r="C3" i="6"/>
  <c r="C2" i="6"/>
  <c r="C7" i="6"/>
  <c r="C5" i="6"/>
  <c r="C6" i="6"/>
  <c r="C4" i="6"/>
  <c r="D7" i="6"/>
  <c r="E7" i="6" s="1"/>
  <c r="D4" i="6"/>
  <c r="J2" i="3"/>
  <c r="C10" i="6"/>
  <c r="E10" i="6" s="1"/>
  <c r="D2" i="4"/>
  <c r="E9" i="6" l="1"/>
  <c r="E8" i="6"/>
  <c r="E2" i="6"/>
  <c r="E3" i="6"/>
  <c r="E6" i="6"/>
  <c r="E4" i="6"/>
  <c r="E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<sst xmlns="http://schemas.openxmlformats.org/spreadsheetml/2006/main" count="13330" uniqueCount="85">
  <si>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</si>
  <si>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</si>
  <si>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</si>
  <si>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</si>
  <si>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</si>
  <si>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</si>
  <si>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</si>
  <si>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</si>
  <si>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</si>
  <si>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</si>
  <si>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</si>
  <si>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</si>
  <si>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</si>
  <si>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</si>
  <si>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</si>
  <si>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</si>
  <si>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</si>
  <si>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</si>
  <si>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</si>
  <si>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</si>
  <si>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</si>
  <si>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</si>
  <si>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</si>
  <si>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</si>
  <si>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</si>
  <si>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</si>
  <si>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</si>
  <si>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</si>
  <si>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</si>
  <si>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</si>
  <si>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</si>
  <si>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</si>
  <si>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</si>
  <si>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</si>
  <si>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</si>
  <si>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</si>
  <si>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</si>
  <si>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</si>
  <si>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</si>
  <si>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</si>
  <si>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</si>
  <si>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</si>
  <si>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</si>
  <si>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</si>
  <si>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</si>
  <si>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</si>
  <si>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</si>
  <si>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</si>
  <si>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</si>
  <si>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</si>
  <si>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</si>
  <si>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</si>
  <si>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</si>
  <si>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</si>
  <si>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</si>
  <si>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</si>
  <si>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</si>
  <si>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</si>
  <si>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</si>
  <si>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</si>
  <si>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</si>
  <si>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</si>
  <si>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TenureBand</t>
  </si>
  <si>
    <t>Employee Number</t>
  </si>
  <si>
    <t>Attrited Count</t>
  </si>
  <si>
    <t>0-2 yrs</t>
  </si>
  <si>
    <t>Total Employees</t>
  </si>
  <si>
    <t>Attrited Employees</t>
  </si>
  <si>
    <t>Attrition Rate</t>
  </si>
  <si>
    <t>Employees to Save</t>
  </si>
  <si>
    <t>Target Attrited</t>
  </si>
  <si>
    <t>Target Rate</t>
  </si>
  <si>
    <t>Job Satisfaction</t>
  </si>
  <si>
    <t>Attrited(Yes)</t>
  </si>
  <si>
    <t>Employees</t>
  </si>
  <si>
    <t>Avg Monthly Income</t>
  </si>
  <si>
    <t>Tenure Band</t>
  </si>
  <si>
    <t>3-5 yrs</t>
  </si>
  <si>
    <t>5+ yrs</t>
  </si>
  <si>
    <t>Row Labels</t>
  </si>
  <si>
    <t>Grand Total</t>
  </si>
  <si>
    <t>Count of Attrition</t>
  </si>
  <si>
    <t>Count of Attrition2</t>
  </si>
  <si>
    <t>Average of MonthlyIncome</t>
  </si>
  <si>
    <t>HR Attrition and Workforce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</si>
</sst>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Red]&quot;₹&quot;\ #,##0.00"/>
    <numFmt numFmtId="165" formatCode="&quot;₹&quot;\ #,##0"/>
  </numFmts>
  <fonts count="1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16" fillId="33" borderId="10" xfId="0" applyFont="1" applyFill="1" applyBorder="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[HR_Attrition_Analysis.xlsx]Pivot_Dept!PivotTable1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52187226596683E-2"/>
          <c:y val="0.17464773096716385"/>
          <c:w val="0.64154141766481143"/>
          <c:h val="0.49756993600168481"/>
        </c:manualLayout>
      </c:layout>
      <c:barChart>
        <c:barDir val="col"/>
        <c:grouping val="clustered"/>
        <c:varyColors val="0"/>
        <c:ser>
          <c:idx val="0"/>
          <c:order val="0"/>
          <c:tx>
            <c:strRef>
              <c:f>Pivot_Dept!$B$3</c:f>
              <c:strCache>
                <c:ptCount val="1"/>
                <c:pt idx="0">
                  <c:v>Count of Attrition</c:v>
                </c:pt>
              </c:strCache>
            </c:strRef>
          </c:tx>
          <c:spPr>
            <a:solidFill>
              <a:schemeClr val="accent1"/>
            </a:solidFill>
            <a:ln>
              <a:noFill/>
            </a:ln>
            <a:effectLst/>
          </c:spPr>
          <c:invertIfNegative val="0"/>
          <c:cat>
            <c:multiLvlStrRef>
              <c:f>Pivot_Dept!$A$4:$A$6</c:f>
              <c:multiLvlStrCache>
                <c:ptCount val="1"/>
                <c:lvl>
                  <c:pt idx="0">
                    <c:v>Yes</c:v>
                  </c:pt>
                </c:lvl>
                <c:lvl>
                  <c:pt idx="0">
                    <c:v>Research &amp; Development</c:v>
                  </c:pt>
                </c:lvl>
              </c:multiLvlStrCache>
            </c:multiLvlStrRef>
          </c:cat>
          <c:val>
            <c:numRef>
              <c:f>Pivot_Dept!$B$4:$B$6</c:f>
              <c:numCache>
                <c:formatCode>General</c:formatCode>
                <c:ptCount val="1"/>
                <c:pt idx="0">
                  <c:v>1</c:v>
                </c:pt>
              </c:numCache>
            </c:numRef>
          </c:val>
          <c:extLst>
            <c:ext xmlns:c16="http://schemas.microsoft.com/office/drawing/2014/chart" uri="{C3380CC4-5D6E-409C-BE32-E72D297353CC}">
              <c16:uniqueId val="{00000000-C8DA-470C-BC86-7025D7CF83D7}"/>
            </c:ext>
          </c:extLst>
        </c:ser>
        <c:ser>
          <c:idx val="1"/>
          <c:order val="1"/>
          <c:tx>
            <c:strRef>
              <c:f>Pivot_Dept!$C$3</c:f>
              <c:strCache>
                <c:ptCount val="1"/>
                <c:pt idx="0">
                  <c:v>Count of Attrition2</c:v>
                </c:pt>
              </c:strCache>
            </c:strRef>
          </c:tx>
          <c:spPr>
            <a:solidFill>
              <a:schemeClr val="accent2"/>
            </a:solidFill>
            <a:ln>
              <a:noFill/>
            </a:ln>
            <a:effectLst/>
          </c:spPr>
          <c:invertIfNegative val="0"/>
          <c:cat>
            <c:multiLvlStrRef>
              <c:f>Pivot_Dept!$A$4:$A$6</c:f>
              <c:multiLvlStrCache>
                <c:ptCount val="1"/>
                <c:lvl>
                  <c:pt idx="0">
                    <c:v>Yes</c:v>
                  </c:pt>
                </c:lvl>
                <c:lvl>
                  <c:pt idx="0">
                    <c:v>Research &amp; Development</c:v>
                  </c:pt>
                </c:lvl>
              </c:multiLvlStrCache>
            </c:multiLvlStrRef>
          </c:cat>
          <c:val>
            <c:numRef>
              <c:f>Pivot_Dept!$C$4:$C$6</c:f>
              <c:numCache>
                <c:formatCode>0.00%</c:formatCode>
                <c:ptCount val="1"/>
                <c:pt idx="0">
                  <c:v>1</c:v>
                </c:pt>
              </c:numCache>
            </c:numRef>
          </c:val>
          <c:extLst>
            <c:ext xmlns:c16="http://schemas.microsoft.com/office/drawing/2014/chart" uri="{C3380CC4-5D6E-409C-BE32-E72D297353CC}">
              <c16:uniqueId val="{00000001-C8DA-470C-BC86-7025D7CF83D7}"/>
            </c:ext>
          </c:extLst>
        </c:ser>
        <c:dLbls>
          <c:showLegendKey val="0"/>
          <c:showVal val="0"/>
          <c:showCatName val="0"/>
          <c:showSerName val="0"/>
          <c:showPercent val="0"/>
          <c:showBubbleSize val="0"/>
        </c:dLbls>
        <c:gapWidth val="219"/>
        <c:overlap val="-27"/>
        <c:axId val="547579535"/>
        <c:axId val="547578095"/>
      </c:barChart>
      <c:catAx>
        <c:axId val="5475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78095"/>
        <c:crosses val="autoZero"/>
        <c:auto val="1"/>
        <c:lblAlgn val="ctr"/>
        <c:lblOffset val="100"/>
        <c:noMultiLvlLbl val="0"/>
      </c:catAx>
      <c:valAx>
        <c:axId val="54757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[HR_Attrition_Analysis.xlsx]Pivot-Jobsat!PivotTable1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'Pivot-Jobsat'!$B$3</c:f>
              <c:strCache>
                <c:ptCount val="1"/>
                <c:pt idx="0">
                  <c:v>Count of Attrition</c:v>
                </c:pt>
              </c:strCache>
            </c:strRef>
          </c:tx>
          <c:spPr>
            <a:solidFill>
              <a:schemeClr val="accent1"/>
            </a:solidFill>
            <a:ln>
              <a:noFill/>
            </a:ln>
            <a:effectLst/>
          </c:spPr>
          <c:invertIfNegative val="0"/>
          <c:cat>
            <c:multiLvlStrRef>
              <c:f>'Pivot-Jobsat'!$A$4:$A$6</c:f>
              <c:multiLvlStrCache>
                <c:ptCount val="1"/>
                <c:lvl>
                  <c:pt idx="0">
                    <c:v>Yes</c:v>
                  </c:pt>
                </c:lvl>
                <c:lvl>
                  <c:pt idx="0">
                    <c:v>1</c:v>
                  </c:pt>
                </c:lvl>
              </c:multiLvlStrCache>
            </c:multiLvlStrRef>
          </c:cat>
          <c:val>
            <c:numRef>
              <c:f>'Pivot-Jobsat'!$B$4:$B$6</c:f>
              <c:numCache>
                <c:formatCode>General</c:formatCode>
                <c:ptCount val="1"/>
                <c:pt idx="0">
                  <c:v>1</c:v>
                </c:pt>
              </c:numCache>
            </c:numRef>
          </c:val>
          <c:extLst>
            <c:ext xmlns:c16="http://schemas.microsoft.com/office/drawing/2014/chart" uri="{C3380CC4-5D6E-409C-BE32-E72D297353CC}">
              <c16:uniqueId val="{00000000-E53B-4023-9708-C9FD14679CD0}"/>
            </c:ext>
          </c:extLst>
        </c:ser>
        <c:ser>
          <c:idx val="1"/>
          <c:order val="1"/>
          <c:tx>
            <c:strRef>
              <c:f>'Pivot-Jobsat'!$C$3</c:f>
              <c:strCache>
                <c:ptCount val="1"/>
                <c:pt idx="0">
                  <c:v>Count of Attrition2</c:v>
                </c:pt>
              </c:strCache>
            </c:strRef>
          </c:tx>
          <c:spPr>
            <a:solidFill>
              <a:schemeClr val="accent2"/>
            </a:solidFill>
            <a:ln>
              <a:noFill/>
            </a:ln>
            <a:effectLst/>
          </c:spPr>
          <c:invertIfNegative val="0"/>
          <c:cat>
            <c:multiLvlStrRef>
              <c:f>'Pivot-Jobsat'!$A$4:$A$6</c:f>
              <c:multiLvlStrCache>
                <c:ptCount val="1"/>
                <c:lvl>
                  <c:pt idx="0">
                    <c:v>Yes</c:v>
                  </c:pt>
                </c:lvl>
                <c:lvl>
                  <c:pt idx="0">
                    <c:v>1</c:v>
                  </c:pt>
                </c:lvl>
              </c:multiLvlStrCache>
            </c:multiLvlStrRef>
          </c:cat>
          <c:val>
            <c:numRef>
              <c:f>'Pivot-Jobsat'!$C$4:$C$6</c:f>
              <c:numCache>
                <c:formatCode>0.00%</c:formatCode>
                <c:ptCount val="1"/>
                <c:pt idx="0">
                  <c:v>1</c:v>
                </c:pt>
              </c:numCache>
            </c:numRef>
          </c:val>
          <c:extLst>
            <c:ext xmlns:c16="http://schemas.microsoft.com/office/drawing/2014/chart" uri="{C3380CC4-5D6E-409C-BE32-E72D297353CC}">
              <c16:uniqueId val="{00000001-E53B-4023-9708-C9FD14679CD0}"/>
            </c:ext>
          </c:extLst>
        </c:ser>
        <c:dLbls>
          <c:showLegendKey val="0"/>
          <c:showVal val="0"/>
          <c:showCatName val="0"/>
          <c:showSerName val="0"/>
          <c:showPercent val="0"/>
          <c:showBubbleSize val="0"/>
        </c:dLbls>
        <c:gapWidth val="219"/>
        <c:overlap val="-27"/>
        <c:axId val="50233359"/>
        <c:axId val="50242959"/>
      </c:barChart>
      <c:catAx>
        <c:axId val="5023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959"/>
        <c:crosses val="autoZero"/>
        <c:auto val="1"/>
        <c:lblAlgn val="ctr"/>
        <c:lblOffset val="100"/>
        <c:noMultiLvlLbl val="0"/>
      </c:catAx>
      <c:valAx>
        <c:axId val="5024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[HR_Attrition_Analysis.xlsx]Pivot_Income!PivotTable2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6981627296585"/>
          <c:y val="0.23410043357839935"/>
          <c:w val="0.72312270341207352"/>
          <c:h val="0.53774387576552929"/>
        </c:manualLayout>
      </c:layout>
      <c:barChart>
        <c:barDir val="col"/>
        <c:grouping val="clustered"/>
        <c:varyColors val="0"/>
        <c:ser>
          <c:idx val="0"/>
          <c:order val="0"/>
          <c:tx>
            <c:strRef>
              <c:f>Pivot_Income!$B$3</c:f>
              <c:strCache>
                <c:ptCount val="1"/>
                <c:pt idx="0">
                  <c:v>Total</c:v>
                </c:pt>
              </c:strCache>
            </c:strRef>
          </c:tx>
          <c:spPr>
            <a:solidFill>
              <a:schemeClr val="accent1"/>
            </a:solidFill>
            <a:ln>
              <a:noFill/>
            </a:ln>
            <a:effectLst/>
          </c:spPr>
          <c:invertIfNegative val="0"/>
          <c:cat>
            <c:strRef>
              <c:f>Pivot_Income!$A$4:$A$5</c:f>
              <c:strCache>
                <c:ptCount val="1"/>
                <c:pt idx="0">
                  <c:v>Yes</c:v>
                </c:pt>
              </c:strCache>
            </c:strRef>
          </c:cat>
          <c:val>
            <c:numRef>
              <c:f>Pivot_Income!$B$4:$B$5</c:f>
              <c:numCache>
                <c:formatCode>"₹"\ #,##0</c:formatCode>
                <c:ptCount val="1"/>
                <c:pt idx="0">
                  <c:v>1601</c:v>
                </c:pt>
              </c:numCache>
            </c:numRef>
          </c:val>
          <c:extLst>
            <c:ext xmlns:c16="http://schemas.microsoft.com/office/drawing/2014/chart" uri="{C3380CC4-5D6E-409C-BE32-E72D297353CC}">
              <c16:uniqueId val="{00000000-EBE6-485F-B3F5-5F6927495594}"/>
            </c:ext>
          </c:extLst>
        </c:ser>
        <c:dLbls>
          <c:showLegendKey val="0"/>
          <c:showVal val="0"/>
          <c:showCatName val="0"/>
          <c:showSerName val="0"/>
          <c:showPercent val="0"/>
          <c:showBubbleSize val="0"/>
        </c:dLbls>
        <c:gapWidth val="219"/>
        <c:overlap val="-27"/>
        <c:axId val="50251119"/>
        <c:axId val="50252559"/>
      </c:barChart>
      <c:catAx>
        <c:axId val="5025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559"/>
        <c:crosses val="autoZero"/>
        <c:auto val="1"/>
        <c:lblAlgn val="ctr"/>
        <c:lblOffset val="100"/>
        <c:noMultiLvlLbl val="0"/>
      </c:catAx>
      <c:valAx>
        <c:axId val="50252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[HR_Attrition_Analysis.xlsx]Pivot_Income!PivotTable2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6981627296585"/>
          <c:y val="0.23410043357839935"/>
          <c:w val="0.72312270341207352"/>
          <c:h val="0.53774387576552929"/>
        </c:manualLayout>
      </c:layout>
      <c:barChart>
        <c:barDir val="col"/>
        <c:grouping val="clustered"/>
        <c:varyColors val="0"/>
        <c:ser>
          <c:idx val="0"/>
          <c:order val="0"/>
          <c:tx>
            <c:strRef>
              <c:f>Pivot_Income!$B$3</c:f>
              <c:strCache>
                <c:ptCount val="1"/>
                <c:pt idx="0">
                  <c:v>Total</c:v>
                </c:pt>
              </c:strCache>
            </c:strRef>
          </c:tx>
          <c:spPr>
            <a:solidFill>
              <a:schemeClr val="accent1"/>
            </a:solidFill>
            <a:ln>
              <a:noFill/>
            </a:ln>
            <a:effectLst/>
          </c:spPr>
          <c:invertIfNegative val="0"/>
          <c:cat>
            <c:strRef>
              <c:f>Pivot_Income!$A$4:$A$5</c:f>
              <c:strCache>
                <c:ptCount val="1"/>
                <c:pt idx="0">
                  <c:v>Yes</c:v>
                </c:pt>
              </c:strCache>
            </c:strRef>
          </c:cat>
          <c:val>
            <c:numRef>
              <c:f>Pivot_Income!$B$4:$B$5</c:f>
              <c:numCache>
                <c:formatCode>"₹"\ #,##0</c:formatCode>
                <c:ptCount val="1"/>
                <c:pt idx="0">
                  <c:v>1601</c:v>
                </c:pt>
              </c:numCache>
            </c:numRef>
          </c:val>
          <c:extLst>
            <c:ext xmlns:c16="http://schemas.microsoft.com/office/drawing/2014/chart" uri="{C3380CC4-5D6E-409C-BE32-E72D297353CC}">
              <c16:uniqueId val="{00000000-659A-462C-95A6-B2BFD20D2AF6}"/>
            </c:ext>
          </c:extLst>
        </c:ser>
        <c:dLbls>
          <c:showLegendKey val="0"/>
          <c:showVal val="0"/>
          <c:showCatName val="0"/>
          <c:showSerName val="0"/>
          <c:showPercent val="0"/>
          <c:showBubbleSize val="0"/>
        </c:dLbls>
        <c:gapWidth val="219"/>
        <c:overlap val="-27"/>
        <c:axId val="50251119"/>
        <c:axId val="50252559"/>
      </c:barChart>
      <c:catAx>
        <c:axId val="5025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559"/>
        <c:crosses val="autoZero"/>
        <c:auto val="1"/>
        <c:lblAlgn val="ctr"/>
        <c:lblOffset val="100"/>
        <c:noMultiLvlLbl val="0"/>
      </c:catAx>
      <c:valAx>
        <c:axId val="50252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7</xdr:row>
      <xdr:rowOff>0</xdr:rowOff>
    </xdr:from>
    <xdr:to>
      <xdr:col>2</xdr:col>
      <xdr:colOff>624840</xdr:colOff>
      <xdr:row>19</xdr:row>
      <xdr:rowOff>167640</xdr:rowOff>
    </xdr:to>
    <xdr:graphicFrame macro="">
      <xdr:nvGraphicFramePr>
        <xdr:cNvPr id="3" name="Chart 2">
          <a:extLst>
            <a:ext uri="{FF2B5EF4-FFF2-40B4-BE49-F238E27FC236}">
              <a16:creationId xmlns:a16="http://schemas.microsoft.com/office/drawing/2014/main" id="{D28D6D09-E507-4691-A940-35BC3DD19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6</xdr:row>
      <xdr:rowOff>213360</xdr:rowOff>
    </xdr:from>
    <xdr:to>
      <xdr:col>13</xdr:col>
      <xdr:colOff>220980</xdr:colOff>
      <xdr:row>20</xdr:row>
      <xdr:rowOff>0</xdr:rowOff>
    </xdr:to>
    <xdr:graphicFrame macro="">
      <xdr:nvGraphicFramePr>
        <xdr:cNvPr id="4" name="Chart 3">
          <a:extLst>
            <a:ext uri="{FF2B5EF4-FFF2-40B4-BE49-F238E27FC236}">
              <a16:creationId xmlns:a16="http://schemas.microsoft.com/office/drawing/2014/main" id="{5B5ADDF6-8C05-4FC3-8E93-D3D015532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678180</xdr:colOff>
      <xdr:row>6</xdr:row>
      <xdr:rowOff>160020</xdr:rowOff>
    </xdr:from>
    <xdr:to>
      <xdr:col>7</xdr:col>
      <xdr:colOff>205740</xdr:colOff>
      <xdr:row>19</xdr:row>
      <xdr:rowOff>175260</xdr:rowOff>
    </xdr:to>
    <xdr:graphicFrame macro="">
      <xdr:nvGraphicFramePr>
        <xdr:cNvPr id="5" name="Chart 4">
          <a:extLst>
            <a:ext uri="{FF2B5EF4-FFF2-40B4-BE49-F238E27FC236}">
              <a16:creationId xmlns:a16="http://schemas.microsoft.com/office/drawing/2014/main" id="{989D6D3B-276E-4528-B936-DA25068BC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1</xdr:row>
      <xdr:rowOff>137160</xdr:rowOff>
    </xdr:from>
    <xdr:to>
      <xdr:col>0</xdr:col>
      <xdr:colOff>1912620</xdr:colOff>
      <xdr:row>6</xdr:row>
      <xdr:rowOff>190500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030116F3-5C3D-42B1-B653-00193E74ADD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3820" y="365760"/>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1</xdr:row>
      <xdr:rowOff>160020</xdr:rowOff>
    </xdr:from>
    <xdr:to>
      <xdr:col>2</xdr:col>
      <xdr:colOff>586740</xdr:colOff>
      <xdr:row>6</xdr:row>
      <xdr:rowOff>121920</xdr:rowOff>
    </xdr:to>
    <mc:AlternateContent xmlns:mc="http://schemas.openxmlformats.org/markup-compatibility/2006" xmlns:a14="http://schemas.microsoft.com/office/drawing/2010/main">
      <mc:Choice Requires="a14">
        <xdr:graphicFrame macro="">
          <xdr:nvGraphicFramePr>
            <xdr:cNvPr id="7" name="Attrition 1">
              <a:extLst>
                <a:ext uri="{FF2B5EF4-FFF2-40B4-BE49-F238E27FC236}">
                  <a16:creationId xmlns:a16="http://schemas.microsoft.com/office/drawing/2014/main" id="{45013EE5-37B1-404F-BF39-24367DA09C5C}"/>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2072640" y="388620"/>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198120</xdr:colOff>
      <xdr:row>1</xdr:row>
      <xdr:rowOff>213361</xdr:rowOff>
    </xdr:from>
    <xdr:to>
      <xdr:col>5</xdr:col>
      <xdr:colOff>388620</xdr:colOff>
      <xdr:row>7</xdr:row>
      <xdr:rowOff>22861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6655A43-5FA7-6561-FC1E-9B44F0CE9BD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16780" y="44196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68580</xdr:colOff>
      <xdr:row>2</xdr:row>
      <xdr:rowOff>30481</xdr:rowOff>
    </xdr:from>
    <xdr:to>
      <xdr:col>6</xdr:col>
      <xdr:colOff>68580</xdr:colOff>
      <xdr:row>6</xdr:row>
      <xdr:rowOff>60961</xdr:rowOff>
    </xdr:to>
    <mc:AlternateContent xmlns:mc="http://schemas.openxmlformats.org/markup-compatibility/2006" xmlns:a14="http://schemas.microsoft.com/office/drawing/2010/main">
      <mc:Choice Requires="a14">
        <xdr:graphicFrame macro="">
          <xdr:nvGraphicFramePr>
            <xdr:cNvPr id="3" name="Attrition">
              <a:extLst>
                <a:ext uri="{FF2B5EF4-FFF2-40B4-BE49-F238E27FC236}">
                  <a16:creationId xmlns:a16="http://schemas.microsoft.com/office/drawing/2014/main" id="{5C15D5B5-98B1-28CB-B0C3-62F57644232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3634740" y="48768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373380</xdr:colOff>
      <xdr:row>2</xdr:row>
      <xdr:rowOff>110490</xdr:rowOff>
    </xdr:from>
    <xdr:to>
      <xdr:col>10</xdr:col>
      <xdr:colOff>68580</xdr:colOff>
      <xdr:row>15</xdr:row>
      <xdr:rowOff>91440</xdr:rowOff>
    </xdr:to>
    <xdr:graphicFrame macro="">
      <xdr:nvGraphicFramePr>
        <xdr:cNvPr id="2" name="Chart 1">
          <a:extLst>
            <a:ext uri="{FF2B5EF4-FFF2-40B4-BE49-F238E27FC236}">
              <a16:creationId xmlns:a16="http://schemas.microsoft.com/office/drawing/2014/main" id="{A4D8F14A-1504-5306-D29F-64296562C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259080</xdr:colOff>
      <xdr:row>2</xdr:row>
      <xdr:rowOff>91440</xdr:rowOff>
    </xdr:from>
    <xdr:to>
      <xdr:col>13</xdr:col>
      <xdr:colOff>259080</xdr:colOff>
      <xdr:row>13</xdr:row>
      <xdr:rowOff>53340</xdr:rowOff>
    </xdr:to>
    <mc:AlternateContent xmlns:mc="http://schemas.openxmlformats.org/markup-compatibility/2006" xmlns:a14="http://schemas.microsoft.com/office/drawing/2010/main">
      <mc:Choice Requires="a14">
        <xdr:graphicFrame macro="">
          <xdr:nvGraphicFramePr>
            <xdr:cNvPr id="3" name="MonthlyIncome">
              <a:extLst>
                <a:ext uri="{FF2B5EF4-FFF2-40B4-BE49-F238E27FC236}">
                  <a16:creationId xmlns:a16="http://schemas.microsoft.com/office/drawing/2014/main" id="{DD21B67D-3F66-3DF1-0739-2DDD196A6320}"/>
                </a:ext>
              </a:extLst>
            </xdr:cNvPr>
            <xdr:cNvGraphicFramePr/>
          </xdr:nvGraphicFramePr>
          <xdr:xfrm>
            <a:off x="0" y="0"/>
            <a:ext cx="0" cy="0"/>
          </xdr:xfrm>
          <a:graphic>
            <a:graphicData uri="http://schemas.microsoft.com/office/drawing/2010/slicer">
              <sle:slicer xmlns:sle="http://schemas.microsoft.com/office/drawing/2010/slicer" name="MonthlyIncome"/>
            </a:graphicData>
          </a:graphic>
        </xdr:graphicFrame>
      </mc:Choice>
      <mc:Fallback xmlns="">
        <xdr:sp macro="" textlink="">
          <xdr:nvSpPr>
            <xdr:cNvPr id="0" name=""/>
            <xdr:cNvSpPr>
              <a:spLocks noTextEdit="1"/>
            </xdr:cNvSpPr>
          </xdr:nvSpPr>
          <xdr:spPr>
            <a:xfrm>
              <a:off x="7955280" y="548640"/>
              <a:ext cx="182880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fiya" refreshedDate="46238.868114814817" createdVersion="8" refreshedVersion="8" minRefreshableVersion="3" recordCount="1470" xr:uid="{DBD083FB-1ADC-4017-9586-C4BD59904EA6}">
  <cacheSource type="worksheet">
    <worksheetSource name="HrData"/>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Band" numFmtId="0">
      <sharedItems/>
    </cacheField>
  </cacheFields>
  <extLst>
    <ext xmlns:x14="http://schemas.microsoft.com/office/spreadsheetml/2009/9/main" uri="{725AE2AE-9491-48be-B2B4-4EB974FC3084}">
      <x14:pivotCacheDefinition pivotCacheId="968437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s v="Female"/>
    <n v="94"/>
    <n v="3"/>
    <n v="2"/>
    <s v="Sales Executive"/>
    <x v="0"/>
    <s v="Single"/>
    <x v="0"/>
    <n v="19479"/>
    <n v="8"/>
    <s v="Y"/>
    <s v="Yes"/>
    <n v="11"/>
    <n v="3"/>
    <n v="1"/>
    <n v="80"/>
    <n v="0"/>
    <n v="8"/>
    <n v="0"/>
    <n v="1"/>
    <n v="6"/>
    <n v="4"/>
    <n v="0"/>
    <n v="5"/>
    <s v="5+ yrs"/>
  </r>
  <r>
    <n v="49"/>
    <x v="1"/>
    <s v="Travel_Frequently"/>
    <n v="279"/>
    <x v="1"/>
    <n v="8"/>
    <n v="1"/>
    <s v="Life Sciences"/>
    <n v="1"/>
    <n v="2"/>
    <n v="3"/>
    <s v="Male"/>
    <n v="61"/>
    <n v="2"/>
    <n v="2"/>
    <s v="Research Scientist"/>
    <x v="1"/>
    <s v="Married"/>
    <x v="1"/>
    <n v="24907"/>
    <n v="1"/>
    <s v="Y"/>
    <s v="No"/>
    <n v="23"/>
    <n v="4"/>
    <n v="4"/>
    <n v="80"/>
    <n v="1"/>
    <n v="10"/>
    <n v="3"/>
    <n v="3"/>
    <n v="10"/>
    <n v="7"/>
    <n v="1"/>
    <n v="7"/>
    <s v="5+ yrs"/>
  </r>
  <r>
    <n v="37"/>
    <x v="0"/>
    <s v="Travel_Rarely"/>
    <n v="1373"/>
    <x v="1"/>
    <n v="2"/>
    <n v="2"/>
    <s v="Other"/>
    <n v="1"/>
    <n v="4"/>
    <n v="4"/>
    <s v="Male"/>
    <n v="92"/>
    <n v="2"/>
    <n v="1"/>
    <s v="Laboratory Technician"/>
    <x v="2"/>
    <s v="Single"/>
    <x v="2"/>
    <n v="2396"/>
    <n v="6"/>
    <s v="Y"/>
    <s v="Yes"/>
    <n v="15"/>
    <n v="3"/>
    <n v="2"/>
    <n v="80"/>
    <n v="0"/>
    <n v="7"/>
    <n v="3"/>
    <n v="3"/>
    <n v="0"/>
    <n v="0"/>
    <n v="0"/>
    <n v="0"/>
    <s v="0-2 yrs"/>
  </r>
  <r>
    <n v="33"/>
    <x v="1"/>
    <s v="Travel_Frequently"/>
    <n v="1392"/>
    <x v="1"/>
    <n v="3"/>
    <n v="4"/>
    <s v="Life Sciences"/>
    <n v="1"/>
    <n v="5"/>
    <n v="4"/>
    <s v="Female"/>
    <n v="56"/>
    <n v="3"/>
    <n v="1"/>
    <s v="Research Scientist"/>
    <x v="2"/>
    <s v="Married"/>
    <x v="3"/>
    <n v="23159"/>
    <n v="1"/>
    <s v="Y"/>
    <s v="Yes"/>
    <n v="11"/>
    <n v="3"/>
    <n v="3"/>
    <n v="80"/>
    <n v="0"/>
    <n v="8"/>
    <n v="3"/>
    <n v="3"/>
    <n v="8"/>
    <n v="7"/>
    <n v="3"/>
    <n v="0"/>
    <s v="5+ yrs"/>
  </r>
  <r>
    <n v="27"/>
    <x v="1"/>
    <s v="Travel_Rarely"/>
    <n v="591"/>
    <x v="1"/>
    <n v="2"/>
    <n v="1"/>
    <s v="Medical"/>
    <n v="1"/>
    <n v="7"/>
    <n v="1"/>
    <s v="Male"/>
    <n v="40"/>
    <n v="3"/>
    <n v="1"/>
    <s v="Laboratory Technician"/>
    <x v="1"/>
    <s v="Married"/>
    <x v="4"/>
    <n v="16632"/>
    <n v="9"/>
    <s v="Y"/>
    <s v="No"/>
    <n v="12"/>
    <n v="3"/>
    <n v="4"/>
    <n v="80"/>
    <n v="1"/>
    <n v="6"/>
    <n v="3"/>
    <n v="3"/>
    <n v="2"/>
    <n v="2"/>
    <n v="2"/>
    <n v="2"/>
    <s v="0-2 yrs"/>
  </r>
  <r>
    <n v="32"/>
    <x v="1"/>
    <s v="Travel_Frequently"/>
    <n v="1005"/>
    <x v="1"/>
    <n v="2"/>
    <n v="2"/>
    <s v="Life Sciences"/>
    <n v="1"/>
    <n v="8"/>
    <n v="4"/>
    <s v="Male"/>
    <n v="79"/>
    <n v="3"/>
    <n v="1"/>
    <s v="Laboratory Technician"/>
    <x v="0"/>
    <s v="Single"/>
    <x v="5"/>
    <n v="11864"/>
    <n v="0"/>
    <s v="Y"/>
    <s v="No"/>
    <n v="13"/>
    <n v="3"/>
    <n v="3"/>
    <n v="80"/>
    <n v="0"/>
    <n v="8"/>
    <n v="2"/>
    <n v="2"/>
    <n v="7"/>
    <n v="7"/>
    <n v="3"/>
    <n v="6"/>
    <s v="5+ yrs"/>
  </r>
  <r>
    <n v="59"/>
    <x v="1"/>
    <s v="Travel_Rarely"/>
    <n v="1324"/>
    <x v="1"/>
    <n v="3"/>
    <n v="3"/>
    <s v="Medical"/>
    <n v="1"/>
    <n v="10"/>
    <n v="3"/>
    <s v="Female"/>
    <n v="81"/>
    <n v="4"/>
    <n v="1"/>
    <s v="Laboratory Technician"/>
    <x v="3"/>
    <s v="Married"/>
    <x v="6"/>
    <n v="9964"/>
    <n v="4"/>
    <s v="Y"/>
    <s v="Yes"/>
    <n v="20"/>
    <n v="4"/>
    <n v="1"/>
    <n v="80"/>
    <n v="3"/>
    <n v="12"/>
    <n v="3"/>
    <n v="2"/>
    <n v="1"/>
    <n v="0"/>
    <n v="0"/>
    <n v="0"/>
    <s v="0-2 yrs"/>
  </r>
  <r>
    <n v="30"/>
    <x v="1"/>
    <s v="Travel_Rarely"/>
    <n v="1358"/>
    <x v="1"/>
    <n v="24"/>
    <n v="1"/>
    <s v="Life Sciences"/>
    <n v="1"/>
    <n v="11"/>
    <n v="4"/>
    <s v="Male"/>
    <n v="67"/>
    <n v="3"/>
    <n v="1"/>
    <s v="Laboratory Technician"/>
    <x v="2"/>
    <s v="Divorced"/>
    <x v="7"/>
    <n v="13335"/>
    <n v="1"/>
    <s v="Y"/>
    <s v="No"/>
    <n v="22"/>
    <n v="4"/>
    <n v="2"/>
    <n v="80"/>
    <n v="1"/>
    <n v="1"/>
    <n v="2"/>
    <n v="3"/>
    <n v="1"/>
    <n v="0"/>
    <n v="0"/>
    <n v="0"/>
    <s v="0-2 yrs"/>
  </r>
  <r>
    <n v="38"/>
    <x v="1"/>
    <s v="Travel_Frequently"/>
    <n v="216"/>
    <x v="1"/>
    <n v="23"/>
    <n v="3"/>
    <s v="Life Sciences"/>
    <n v="1"/>
    <n v="12"/>
    <n v="4"/>
    <s v="Male"/>
    <n v="44"/>
    <n v="2"/>
    <n v="3"/>
    <s v="Manufacturing Director"/>
    <x v="2"/>
    <s v="Single"/>
    <x v="8"/>
    <n v="8787"/>
    <n v="0"/>
    <s v="Y"/>
    <s v="No"/>
    <n v="21"/>
    <n v="4"/>
    <n v="2"/>
    <n v="80"/>
    <n v="0"/>
    <n v="10"/>
    <n v="2"/>
    <n v="3"/>
    <n v="9"/>
    <n v="7"/>
    <n v="1"/>
    <n v="8"/>
    <s v="5+ yrs"/>
  </r>
  <r>
    <n v="36"/>
    <x v="1"/>
    <s v="Travel_Rarely"/>
    <n v="1299"/>
    <x v="1"/>
    <n v="27"/>
    <n v="3"/>
    <s v="Medical"/>
    <n v="1"/>
    <n v="13"/>
    <n v="3"/>
    <s v="Male"/>
    <n v="94"/>
    <n v="3"/>
    <n v="2"/>
    <s v="Healthcare Representative"/>
    <x v="2"/>
    <s v="Married"/>
    <x v="9"/>
    <n v="16577"/>
    <n v="6"/>
    <s v="Y"/>
    <s v="No"/>
    <n v="13"/>
    <n v="3"/>
    <n v="2"/>
    <n v="80"/>
    <n v="2"/>
    <n v="17"/>
    <n v="3"/>
    <n v="2"/>
    <n v="7"/>
    <n v="7"/>
    <n v="7"/>
    <n v="7"/>
    <s v="5+ yrs"/>
  </r>
  <r>
    <n v="35"/>
    <x v="1"/>
    <s v="Travel_Rarely"/>
    <n v="809"/>
    <x v="1"/>
    <n v="16"/>
    <n v="3"/>
    <s v="Medical"/>
    <n v="1"/>
    <n v="14"/>
    <n v="1"/>
    <s v="Male"/>
    <n v="84"/>
    <n v="4"/>
    <n v="1"/>
    <s v="Laboratory Technician"/>
    <x v="1"/>
    <s v="Married"/>
    <x v="10"/>
    <n v="16479"/>
    <n v="0"/>
    <s v="Y"/>
    <s v="No"/>
    <n v="13"/>
    <n v="3"/>
    <n v="3"/>
    <n v="80"/>
    <n v="1"/>
    <n v="6"/>
    <n v="5"/>
    <n v="3"/>
    <n v="5"/>
    <n v="4"/>
    <n v="0"/>
    <n v="3"/>
    <s v="3-5 yrs"/>
  </r>
  <r>
    <n v="29"/>
    <x v="1"/>
    <s v="Travel_Rarely"/>
    <n v="153"/>
    <x v="1"/>
    <n v="15"/>
    <n v="2"/>
    <s v="Life Sciences"/>
    <n v="1"/>
    <n v="15"/>
    <n v="4"/>
    <s v="Female"/>
    <n v="49"/>
    <n v="2"/>
    <n v="2"/>
    <s v="Laboratory Technician"/>
    <x v="2"/>
    <s v="Single"/>
    <x v="11"/>
    <n v="12682"/>
    <n v="0"/>
    <s v="Y"/>
    <s v="Yes"/>
    <n v="12"/>
    <n v="3"/>
    <n v="4"/>
    <n v="80"/>
    <n v="0"/>
    <n v="10"/>
    <n v="3"/>
    <n v="3"/>
    <n v="9"/>
    <n v="5"/>
    <n v="0"/>
    <n v="8"/>
    <s v="5+ yrs"/>
  </r>
  <r>
    <n v="31"/>
    <x v="1"/>
    <s v="Travel_Rarely"/>
    <n v="670"/>
    <x v="1"/>
    <n v="26"/>
    <n v="1"/>
    <s v="Life Sciences"/>
    <n v="1"/>
    <n v="16"/>
    <n v="1"/>
    <s v="Male"/>
    <n v="31"/>
    <n v="3"/>
    <n v="1"/>
    <s v="Research Scientist"/>
    <x v="2"/>
    <s v="Divorced"/>
    <x v="12"/>
    <n v="15170"/>
    <n v="1"/>
    <s v="Y"/>
    <s v="No"/>
    <n v="17"/>
    <n v="3"/>
    <n v="4"/>
    <n v="80"/>
    <n v="1"/>
    <n v="5"/>
    <n v="1"/>
    <n v="2"/>
    <n v="5"/>
    <n v="2"/>
    <n v="4"/>
    <n v="3"/>
    <s v="3-5 yrs"/>
  </r>
  <r>
    <n v="34"/>
    <x v="1"/>
    <s v="Travel_Rarely"/>
    <n v="1346"/>
    <x v="1"/>
    <n v="19"/>
    <n v="2"/>
    <s v="Medical"/>
    <n v="1"/>
    <n v="18"/>
    <n v="2"/>
    <s v="Male"/>
    <n v="93"/>
    <n v="3"/>
    <n v="1"/>
    <s v="Laboratory Technician"/>
    <x v="0"/>
    <s v="Divorced"/>
    <x v="13"/>
    <n v="8758"/>
    <n v="0"/>
    <s v="Y"/>
    <s v="No"/>
    <n v="11"/>
    <n v="3"/>
    <n v="3"/>
    <n v="80"/>
    <n v="1"/>
    <n v="3"/>
    <n v="2"/>
    <n v="3"/>
    <n v="2"/>
    <n v="2"/>
    <n v="1"/>
    <n v="2"/>
    <s v="0-2 yrs"/>
  </r>
  <r>
    <n v="28"/>
    <x v="0"/>
    <s v="Travel_Rarely"/>
    <n v="103"/>
    <x v="1"/>
    <n v="24"/>
    <n v="3"/>
    <s v="Life Sciences"/>
    <n v="1"/>
    <n v="19"/>
    <n v="3"/>
    <s v="Male"/>
    <n v="50"/>
    <n v="2"/>
    <n v="1"/>
    <s v="Laboratory Technician"/>
    <x v="2"/>
    <s v="Single"/>
    <x v="14"/>
    <n v="12947"/>
    <n v="5"/>
    <s v="Y"/>
    <s v="Yes"/>
    <n v="14"/>
    <n v="3"/>
    <n v="2"/>
    <n v="80"/>
    <n v="0"/>
    <n v="6"/>
    <n v="4"/>
    <n v="3"/>
    <n v="4"/>
    <n v="2"/>
    <n v="0"/>
    <n v="3"/>
    <s v="3-5 yrs"/>
  </r>
  <r>
    <n v="29"/>
    <x v="1"/>
    <s v="Travel_Rarely"/>
    <n v="1389"/>
    <x v="1"/>
    <n v="21"/>
    <n v="4"/>
    <s v="Life Sciences"/>
    <n v="1"/>
    <n v="20"/>
    <n v="2"/>
    <s v="Female"/>
    <n v="51"/>
    <n v="4"/>
    <n v="3"/>
    <s v="Manufacturing Director"/>
    <x v="3"/>
    <s v="Divorced"/>
    <x v="15"/>
    <n v="10195"/>
    <n v="1"/>
    <s v="Y"/>
    <s v="No"/>
    <n v="11"/>
    <n v="3"/>
    <n v="3"/>
    <n v="80"/>
    <n v="1"/>
    <n v="10"/>
    <n v="1"/>
    <n v="3"/>
    <n v="10"/>
    <n v="9"/>
    <n v="8"/>
    <n v="8"/>
    <s v="5+ yrs"/>
  </r>
  <r>
    <n v="32"/>
    <x v="1"/>
    <s v="Travel_Rarely"/>
    <n v="334"/>
    <x v="1"/>
    <n v="5"/>
    <n v="2"/>
    <s v="Life Sciences"/>
    <n v="1"/>
    <n v="21"/>
    <n v="1"/>
    <s v="Male"/>
    <n v="80"/>
    <n v="4"/>
    <n v="1"/>
    <s v="Research Scientist"/>
    <x v="1"/>
    <s v="Divorced"/>
    <x v="16"/>
    <n v="15053"/>
    <n v="0"/>
    <s v="Y"/>
    <s v="Yes"/>
    <n v="12"/>
    <n v="3"/>
    <n v="4"/>
    <n v="80"/>
    <n v="2"/>
    <n v="7"/>
    <n v="5"/>
    <n v="2"/>
    <n v="6"/>
    <n v="2"/>
    <n v="0"/>
    <n v="5"/>
    <s v="5+ yrs"/>
  </r>
  <r>
    <n v="22"/>
    <x v="1"/>
    <s v="Non-Travel"/>
    <n v="1123"/>
    <x v="1"/>
    <n v="16"/>
    <n v="2"/>
    <s v="Medical"/>
    <n v="1"/>
    <n v="22"/>
    <n v="4"/>
    <s v="Male"/>
    <n v="96"/>
    <n v="4"/>
    <n v="1"/>
    <s v="Laboratory Technician"/>
    <x v="0"/>
    <s v="Divorced"/>
    <x v="17"/>
    <n v="7324"/>
    <n v="1"/>
    <s v="Y"/>
    <s v="Yes"/>
    <n v="13"/>
    <n v="3"/>
    <n v="2"/>
    <n v="80"/>
    <n v="2"/>
    <n v="1"/>
    <n v="2"/>
    <n v="2"/>
    <n v="1"/>
    <n v="0"/>
    <n v="0"/>
    <n v="0"/>
    <s v="0-2 yrs"/>
  </r>
  <r>
    <n v="53"/>
    <x v="1"/>
    <s v="Travel_Rarely"/>
    <n v="1219"/>
    <x v="0"/>
    <n v="2"/>
    <n v="4"/>
    <s v="Life Sciences"/>
    <n v="1"/>
    <n v="23"/>
    <n v="1"/>
    <s v="Female"/>
    <n v="78"/>
    <n v="2"/>
    <n v="4"/>
    <s v="Manager"/>
    <x v="0"/>
    <s v="Married"/>
    <x v="18"/>
    <n v="22021"/>
    <n v="2"/>
    <s v="Y"/>
    <s v="No"/>
    <n v="16"/>
    <n v="3"/>
    <n v="3"/>
    <n v="80"/>
    <n v="0"/>
    <n v="31"/>
    <n v="3"/>
    <n v="3"/>
    <n v="25"/>
    <n v="8"/>
    <n v="3"/>
    <n v="7"/>
    <s v="5+ yrs"/>
  </r>
  <r>
    <n v="38"/>
    <x v="1"/>
    <s v="Travel_Rarely"/>
    <n v="371"/>
    <x v="1"/>
    <n v="2"/>
    <n v="3"/>
    <s v="Life Sciences"/>
    <n v="1"/>
    <n v="24"/>
    <n v="4"/>
    <s v="Male"/>
    <n v="45"/>
    <n v="3"/>
    <n v="1"/>
    <s v="Research Scientist"/>
    <x v="0"/>
    <s v="Single"/>
    <x v="19"/>
    <n v="4306"/>
    <n v="5"/>
    <s v="Y"/>
    <s v="Yes"/>
    <n v="11"/>
    <n v="3"/>
    <n v="3"/>
    <n v="80"/>
    <n v="0"/>
    <n v="6"/>
    <n v="3"/>
    <n v="3"/>
    <n v="3"/>
    <n v="2"/>
    <n v="1"/>
    <n v="2"/>
    <s v="3-5 yrs"/>
  </r>
  <r>
    <n v="24"/>
    <x v="1"/>
    <s v="Non-Travel"/>
    <n v="673"/>
    <x v="1"/>
    <n v="11"/>
    <n v="2"/>
    <s v="Other"/>
    <n v="1"/>
    <n v="26"/>
    <n v="1"/>
    <s v="Female"/>
    <n v="96"/>
    <n v="4"/>
    <n v="2"/>
    <s v="Manufacturing Director"/>
    <x v="2"/>
    <s v="Divorced"/>
    <x v="20"/>
    <n v="8232"/>
    <n v="0"/>
    <s v="Y"/>
    <s v="No"/>
    <n v="18"/>
    <n v="3"/>
    <n v="4"/>
    <n v="80"/>
    <n v="1"/>
    <n v="5"/>
    <n v="5"/>
    <n v="2"/>
    <n v="4"/>
    <n v="2"/>
    <n v="1"/>
    <n v="3"/>
    <s v="3-5 yrs"/>
  </r>
  <r>
    <n v="36"/>
    <x v="0"/>
    <s v="Travel_Rarely"/>
    <n v="1218"/>
    <x v="0"/>
    <n v="9"/>
    <n v="4"/>
    <s v="Life Sciences"/>
    <n v="1"/>
    <n v="27"/>
    <n v="3"/>
    <s v="Male"/>
    <n v="82"/>
    <n v="2"/>
    <n v="1"/>
    <s v="Sales Representative"/>
    <x v="3"/>
    <s v="Single"/>
    <x v="21"/>
    <n v="6986"/>
    <n v="7"/>
    <s v="Y"/>
    <s v="No"/>
    <n v="23"/>
    <n v="4"/>
    <n v="2"/>
    <n v="80"/>
    <n v="0"/>
    <n v="10"/>
    <n v="4"/>
    <n v="3"/>
    <n v="5"/>
    <n v="3"/>
    <n v="0"/>
    <n v="3"/>
    <s v="3-5 yrs"/>
  </r>
  <r>
    <n v="34"/>
    <x v="1"/>
    <s v="Travel_Rarely"/>
    <n v="419"/>
    <x v="1"/>
    <n v="7"/>
    <n v="4"/>
    <s v="Life Sciences"/>
    <n v="1"/>
    <n v="28"/>
    <n v="1"/>
    <s v="Female"/>
    <n v="53"/>
    <n v="3"/>
    <n v="3"/>
    <s v="Research Director"/>
    <x v="1"/>
    <s v="Single"/>
    <x v="22"/>
    <n v="21293"/>
    <n v="0"/>
    <s v="Y"/>
    <s v="No"/>
    <n v="11"/>
    <n v="3"/>
    <n v="3"/>
    <n v="80"/>
    <n v="0"/>
    <n v="13"/>
    <n v="4"/>
    <n v="3"/>
    <n v="12"/>
    <n v="6"/>
    <n v="2"/>
    <n v="11"/>
    <s v="5+ yrs"/>
  </r>
  <r>
    <n v="21"/>
    <x v="1"/>
    <s v="Travel_Rarely"/>
    <n v="391"/>
    <x v="1"/>
    <n v="15"/>
    <n v="2"/>
    <s v="Life Sciences"/>
    <n v="1"/>
    <n v="30"/>
    <n v="3"/>
    <s v="Male"/>
    <n v="96"/>
    <n v="3"/>
    <n v="1"/>
    <s v="Research Scientist"/>
    <x v="0"/>
    <s v="Single"/>
    <x v="23"/>
    <n v="19281"/>
    <n v="1"/>
    <s v="Y"/>
    <s v="No"/>
    <n v="14"/>
    <n v="3"/>
    <n v="4"/>
    <n v="80"/>
    <n v="0"/>
    <n v="0"/>
    <n v="6"/>
    <n v="3"/>
    <n v="0"/>
    <n v="0"/>
    <n v="0"/>
    <n v="0"/>
    <s v="0-2 yrs"/>
  </r>
  <r>
    <n v="34"/>
    <x v="0"/>
    <s v="Travel_Rarely"/>
    <n v="699"/>
    <x v="1"/>
    <n v="6"/>
    <n v="1"/>
    <s v="Medical"/>
    <n v="1"/>
    <n v="31"/>
    <n v="2"/>
    <s v="Male"/>
    <n v="83"/>
    <n v="3"/>
    <n v="1"/>
    <s v="Research Scientist"/>
    <x v="3"/>
    <s v="Single"/>
    <x v="24"/>
    <n v="17102"/>
    <n v="2"/>
    <s v="Y"/>
    <s v="No"/>
    <n v="11"/>
    <n v="3"/>
    <n v="3"/>
    <n v="80"/>
    <n v="0"/>
    <n v="8"/>
    <n v="2"/>
    <n v="3"/>
    <n v="4"/>
    <n v="2"/>
    <n v="1"/>
    <n v="3"/>
    <s v="3-5 yrs"/>
  </r>
  <r>
    <n v="53"/>
    <x v="1"/>
    <s v="Travel_Rarely"/>
    <n v="1282"/>
    <x v="1"/>
    <n v="5"/>
    <n v="3"/>
    <s v="Other"/>
    <n v="1"/>
    <n v="32"/>
    <n v="3"/>
    <s v="Female"/>
    <n v="58"/>
    <n v="3"/>
    <n v="5"/>
    <s v="Manager"/>
    <x v="2"/>
    <s v="Divorced"/>
    <x v="25"/>
    <n v="10735"/>
    <n v="4"/>
    <s v="Y"/>
    <s v="No"/>
    <n v="11"/>
    <n v="3"/>
    <n v="4"/>
    <n v="80"/>
    <n v="1"/>
    <n v="26"/>
    <n v="3"/>
    <n v="2"/>
    <n v="14"/>
    <n v="13"/>
    <n v="4"/>
    <n v="8"/>
    <s v="5+ yrs"/>
  </r>
  <r>
    <n v="32"/>
    <x v="0"/>
    <s v="Travel_Frequently"/>
    <n v="1125"/>
    <x v="1"/>
    <n v="16"/>
    <n v="1"/>
    <s v="Life Sciences"/>
    <n v="1"/>
    <n v="33"/>
    <n v="2"/>
    <s v="Female"/>
    <n v="72"/>
    <n v="1"/>
    <n v="1"/>
    <s v="Research Scientist"/>
    <x v="3"/>
    <s v="Single"/>
    <x v="26"/>
    <n v="4681"/>
    <n v="1"/>
    <s v="Y"/>
    <s v="Yes"/>
    <n v="22"/>
    <n v="4"/>
    <n v="2"/>
    <n v="80"/>
    <n v="0"/>
    <n v="10"/>
    <n v="5"/>
    <n v="3"/>
    <n v="10"/>
    <n v="2"/>
    <n v="6"/>
    <n v="7"/>
    <s v="5+ yrs"/>
  </r>
  <r>
    <n v="42"/>
    <x v="1"/>
    <s v="Travel_Rarely"/>
    <n v="691"/>
    <x v="0"/>
    <n v="8"/>
    <n v="4"/>
    <s v="Marketing"/>
    <n v="1"/>
    <n v="35"/>
    <n v="3"/>
    <s v="Male"/>
    <n v="48"/>
    <n v="3"/>
    <n v="2"/>
    <s v="Sales Executive"/>
    <x v="1"/>
    <s v="Married"/>
    <x v="27"/>
    <n v="21173"/>
    <n v="0"/>
    <s v="Y"/>
    <s v="No"/>
    <n v="11"/>
    <n v="3"/>
    <n v="4"/>
    <n v="80"/>
    <n v="1"/>
    <n v="10"/>
    <n v="2"/>
    <n v="3"/>
    <n v="9"/>
    <n v="7"/>
    <n v="4"/>
    <n v="2"/>
    <s v="5+ yrs"/>
  </r>
  <r>
    <n v="44"/>
    <x v="1"/>
    <s v="Travel_Rarely"/>
    <n v="477"/>
    <x v="1"/>
    <n v="7"/>
    <n v="4"/>
    <s v="Medical"/>
    <n v="1"/>
    <n v="36"/>
    <n v="1"/>
    <s v="Female"/>
    <n v="42"/>
    <n v="2"/>
    <n v="3"/>
    <s v="Healthcare Representative"/>
    <x v="0"/>
    <s v="Married"/>
    <x v="28"/>
    <n v="2094"/>
    <n v="3"/>
    <s v="Y"/>
    <s v="No"/>
    <n v="14"/>
    <n v="3"/>
    <n v="4"/>
    <n v="80"/>
    <n v="1"/>
    <n v="24"/>
    <n v="4"/>
    <n v="3"/>
    <n v="22"/>
    <n v="6"/>
    <n v="5"/>
    <n v="17"/>
    <s v="5+ yrs"/>
  </r>
  <r>
    <n v="46"/>
    <x v="1"/>
    <s v="Travel_Rarely"/>
    <n v="705"/>
    <x v="0"/>
    <n v="2"/>
    <n v="4"/>
    <s v="Marketing"/>
    <n v="1"/>
    <n v="38"/>
    <n v="2"/>
    <s v="Female"/>
    <n v="83"/>
    <n v="3"/>
    <n v="5"/>
    <s v="Manager"/>
    <x v="3"/>
    <s v="Single"/>
    <x v="29"/>
    <n v="22822"/>
    <n v="3"/>
    <s v="Y"/>
    <s v="No"/>
    <n v="12"/>
    <n v="3"/>
    <n v="4"/>
    <n v="80"/>
    <n v="0"/>
    <n v="22"/>
    <n v="2"/>
    <n v="2"/>
    <n v="2"/>
    <n v="2"/>
    <n v="2"/>
    <n v="1"/>
    <s v="0-2 yrs"/>
  </r>
  <r>
    <n v="33"/>
    <x v="1"/>
    <s v="Travel_Rarely"/>
    <n v="924"/>
    <x v="1"/>
    <n v="2"/>
    <n v="3"/>
    <s v="Medical"/>
    <n v="1"/>
    <n v="39"/>
    <n v="3"/>
    <s v="Male"/>
    <n v="78"/>
    <n v="3"/>
    <n v="1"/>
    <s v="Laboratory Technician"/>
    <x v="0"/>
    <s v="Single"/>
    <x v="30"/>
    <n v="6670"/>
    <n v="4"/>
    <s v="Y"/>
    <s v="No"/>
    <n v="11"/>
    <n v="3"/>
    <n v="4"/>
    <n v="80"/>
    <n v="0"/>
    <n v="7"/>
    <n v="3"/>
    <n v="3"/>
    <n v="1"/>
    <n v="1"/>
    <n v="0"/>
    <n v="0"/>
    <s v="0-2 yrs"/>
  </r>
  <r>
    <n v="44"/>
    <x v="1"/>
    <s v="Travel_Rarely"/>
    <n v="1459"/>
    <x v="1"/>
    <n v="10"/>
    <n v="4"/>
    <s v="Other"/>
    <n v="1"/>
    <n v="40"/>
    <n v="4"/>
    <s v="Male"/>
    <n v="41"/>
    <n v="3"/>
    <n v="2"/>
    <s v="Healthcare Representative"/>
    <x v="0"/>
    <s v="Married"/>
    <x v="31"/>
    <n v="19121"/>
    <n v="2"/>
    <s v="Y"/>
    <s v="Yes"/>
    <n v="13"/>
    <n v="3"/>
    <n v="4"/>
    <n v="80"/>
    <n v="0"/>
    <n v="9"/>
    <n v="5"/>
    <n v="4"/>
    <n v="4"/>
    <n v="2"/>
    <n v="1"/>
    <n v="3"/>
    <s v="3-5 yrs"/>
  </r>
  <r>
    <n v="30"/>
    <x v="1"/>
    <s v="Travel_Rarely"/>
    <n v="125"/>
    <x v="1"/>
    <n v="9"/>
    <n v="2"/>
    <s v="Medical"/>
    <n v="1"/>
    <n v="41"/>
    <n v="4"/>
    <s v="Male"/>
    <n v="83"/>
    <n v="2"/>
    <n v="1"/>
    <s v="Laboratory Technician"/>
    <x v="2"/>
    <s v="Single"/>
    <x v="32"/>
    <n v="16117"/>
    <n v="1"/>
    <s v="Y"/>
    <s v="No"/>
    <n v="13"/>
    <n v="3"/>
    <n v="1"/>
    <n v="80"/>
    <n v="0"/>
    <n v="10"/>
    <n v="5"/>
    <n v="3"/>
    <n v="10"/>
    <n v="0"/>
    <n v="1"/>
    <n v="8"/>
    <s v="5+ yrs"/>
  </r>
  <r>
    <n v="39"/>
    <x v="0"/>
    <s v="Travel_Rarely"/>
    <n v="895"/>
    <x v="0"/>
    <n v="5"/>
    <n v="3"/>
    <s v="Technical Degree"/>
    <n v="1"/>
    <n v="42"/>
    <n v="4"/>
    <s v="Male"/>
    <n v="56"/>
    <n v="3"/>
    <n v="2"/>
    <s v="Sales Representative"/>
    <x v="0"/>
    <s v="Married"/>
    <x v="33"/>
    <n v="3335"/>
    <n v="3"/>
    <s v="Y"/>
    <s v="No"/>
    <n v="14"/>
    <n v="3"/>
    <n v="3"/>
    <n v="80"/>
    <n v="1"/>
    <n v="19"/>
    <n v="6"/>
    <n v="4"/>
    <n v="1"/>
    <n v="0"/>
    <n v="0"/>
    <n v="0"/>
    <s v="0-2 yrs"/>
  </r>
  <r>
    <n v="24"/>
    <x v="0"/>
    <s v="Travel_Rarely"/>
    <n v="813"/>
    <x v="1"/>
    <n v="1"/>
    <n v="3"/>
    <s v="Medical"/>
    <n v="1"/>
    <n v="45"/>
    <n v="2"/>
    <s v="Male"/>
    <n v="61"/>
    <n v="3"/>
    <n v="1"/>
    <s v="Research Scientist"/>
    <x v="0"/>
    <s v="Married"/>
    <x v="34"/>
    <n v="3020"/>
    <n v="2"/>
    <s v="Y"/>
    <s v="Yes"/>
    <n v="16"/>
    <n v="3"/>
    <n v="1"/>
    <n v="80"/>
    <n v="1"/>
    <n v="6"/>
    <n v="2"/>
    <n v="2"/>
    <n v="2"/>
    <n v="0"/>
    <n v="2"/>
    <n v="0"/>
    <s v="0-2 yrs"/>
  </r>
  <r>
    <n v="43"/>
    <x v="1"/>
    <s v="Travel_Rarely"/>
    <n v="1273"/>
    <x v="1"/>
    <n v="2"/>
    <n v="2"/>
    <s v="Medical"/>
    <n v="1"/>
    <n v="46"/>
    <n v="4"/>
    <s v="Female"/>
    <n v="72"/>
    <n v="4"/>
    <n v="1"/>
    <s v="Research Scientist"/>
    <x v="2"/>
    <s v="Divorced"/>
    <x v="35"/>
    <n v="21923"/>
    <n v="1"/>
    <s v="Y"/>
    <s v="No"/>
    <n v="12"/>
    <n v="3"/>
    <n v="4"/>
    <n v="80"/>
    <n v="2"/>
    <n v="6"/>
    <n v="3"/>
    <n v="2"/>
    <n v="5"/>
    <n v="3"/>
    <n v="1"/>
    <n v="4"/>
    <s v="3-5 yrs"/>
  </r>
  <r>
    <n v="50"/>
    <x v="0"/>
    <s v="Travel_Rarely"/>
    <n v="869"/>
    <x v="0"/>
    <n v="3"/>
    <n v="2"/>
    <s v="Marketing"/>
    <n v="1"/>
    <n v="47"/>
    <n v="1"/>
    <s v="Male"/>
    <n v="86"/>
    <n v="2"/>
    <n v="1"/>
    <s v="Sales Representative"/>
    <x v="2"/>
    <s v="Married"/>
    <x v="36"/>
    <n v="3810"/>
    <n v="1"/>
    <s v="Y"/>
    <s v="Yes"/>
    <n v="14"/>
    <n v="3"/>
    <n v="3"/>
    <n v="80"/>
    <n v="0"/>
    <n v="3"/>
    <n v="2"/>
    <n v="3"/>
    <n v="3"/>
    <n v="2"/>
    <n v="0"/>
    <n v="2"/>
    <s v="3-5 yrs"/>
  </r>
  <r>
    <n v="35"/>
    <x v="1"/>
    <s v="Travel_Rarely"/>
    <n v="890"/>
    <x v="0"/>
    <n v="2"/>
    <n v="3"/>
    <s v="Marketing"/>
    <n v="1"/>
    <n v="49"/>
    <n v="4"/>
    <s v="Female"/>
    <n v="97"/>
    <n v="3"/>
    <n v="1"/>
    <s v="Sales Representative"/>
    <x v="0"/>
    <s v="Married"/>
    <x v="37"/>
    <n v="9687"/>
    <n v="1"/>
    <s v="Y"/>
    <s v="No"/>
    <n v="13"/>
    <n v="3"/>
    <n v="1"/>
    <n v="80"/>
    <n v="0"/>
    <n v="2"/>
    <n v="3"/>
    <n v="3"/>
    <n v="2"/>
    <n v="2"/>
    <n v="2"/>
    <n v="2"/>
    <s v="0-2 yrs"/>
  </r>
  <r>
    <n v="36"/>
    <x v="1"/>
    <s v="Travel_Rarely"/>
    <n v="852"/>
    <x v="1"/>
    <n v="5"/>
    <n v="4"/>
    <s v="Life Sciences"/>
    <n v="1"/>
    <n v="51"/>
    <n v="2"/>
    <s v="Female"/>
    <n v="82"/>
    <n v="2"/>
    <n v="1"/>
    <s v="Research Scientist"/>
    <x v="3"/>
    <s v="Married"/>
    <x v="38"/>
    <n v="13072"/>
    <n v="9"/>
    <s v="Y"/>
    <s v="Yes"/>
    <n v="14"/>
    <n v="3"/>
    <n v="4"/>
    <n v="80"/>
    <n v="1"/>
    <n v="6"/>
    <n v="3"/>
    <n v="4"/>
    <n v="1"/>
    <n v="1"/>
    <n v="0"/>
    <n v="0"/>
    <s v="0-2 yrs"/>
  </r>
  <r>
    <n v="33"/>
    <x v="1"/>
    <s v="Travel_Frequently"/>
    <n v="1141"/>
    <x v="0"/>
    <n v="1"/>
    <n v="3"/>
    <s v="Life Sciences"/>
    <n v="1"/>
    <n v="52"/>
    <n v="3"/>
    <s v="Female"/>
    <n v="42"/>
    <n v="4"/>
    <n v="2"/>
    <s v="Sales Executive"/>
    <x v="3"/>
    <s v="Married"/>
    <x v="39"/>
    <n v="3193"/>
    <n v="2"/>
    <s v="Y"/>
    <s v="No"/>
    <n v="19"/>
    <n v="3"/>
    <n v="1"/>
    <n v="80"/>
    <n v="2"/>
    <n v="10"/>
    <n v="3"/>
    <n v="3"/>
    <n v="5"/>
    <n v="3"/>
    <n v="1"/>
    <n v="3"/>
    <s v="3-5 yrs"/>
  </r>
  <r>
    <n v="35"/>
    <x v="1"/>
    <s v="Travel_Rarely"/>
    <n v="464"/>
    <x v="1"/>
    <n v="4"/>
    <n v="2"/>
    <s v="Other"/>
    <n v="1"/>
    <n v="53"/>
    <n v="3"/>
    <s v="Male"/>
    <n v="75"/>
    <n v="3"/>
    <n v="1"/>
    <s v="Laboratory Technician"/>
    <x v="0"/>
    <s v="Divorced"/>
    <x v="40"/>
    <n v="10910"/>
    <n v="1"/>
    <s v="Y"/>
    <s v="No"/>
    <n v="12"/>
    <n v="3"/>
    <n v="3"/>
    <n v="80"/>
    <n v="1"/>
    <n v="1"/>
    <n v="3"/>
    <n v="3"/>
    <n v="1"/>
    <n v="0"/>
    <n v="0"/>
    <n v="0"/>
    <s v="0-2 yrs"/>
  </r>
  <r>
    <n v="27"/>
    <x v="1"/>
    <s v="Travel_Rarely"/>
    <n v="1240"/>
    <x v="1"/>
    <n v="2"/>
    <n v="4"/>
    <s v="Life Sciences"/>
    <n v="1"/>
    <n v="54"/>
    <n v="4"/>
    <s v="Female"/>
    <n v="33"/>
    <n v="3"/>
    <n v="1"/>
    <s v="Laboratory Technician"/>
    <x v="3"/>
    <s v="Divorced"/>
    <x v="41"/>
    <n v="19715"/>
    <n v="1"/>
    <s v="Y"/>
    <s v="No"/>
    <n v="13"/>
    <n v="3"/>
    <n v="4"/>
    <n v="80"/>
    <n v="1"/>
    <n v="1"/>
    <n v="6"/>
    <n v="3"/>
    <n v="1"/>
    <n v="0"/>
    <n v="0"/>
    <n v="0"/>
    <s v="0-2 yrs"/>
  </r>
  <r>
    <n v="26"/>
    <x v="0"/>
    <s v="Travel_Rarely"/>
    <n v="1357"/>
    <x v="1"/>
    <n v="25"/>
    <n v="3"/>
    <s v="Life Sciences"/>
    <n v="1"/>
    <n v="55"/>
    <n v="1"/>
    <s v="Male"/>
    <n v="48"/>
    <n v="1"/>
    <n v="1"/>
    <s v="Laboratory Technician"/>
    <x v="2"/>
    <s v="Single"/>
    <x v="34"/>
    <n v="10558"/>
    <n v="1"/>
    <s v="Y"/>
    <s v="No"/>
    <n v="12"/>
    <n v="3"/>
    <n v="3"/>
    <n v="80"/>
    <n v="0"/>
    <n v="1"/>
    <n v="2"/>
    <n v="2"/>
    <n v="1"/>
    <n v="0"/>
    <n v="0"/>
    <n v="1"/>
    <s v="0-2 yrs"/>
  </r>
  <r>
    <n v="27"/>
    <x v="1"/>
    <s v="Travel_Frequently"/>
    <n v="994"/>
    <x v="0"/>
    <n v="8"/>
    <n v="3"/>
    <s v="Life Sciences"/>
    <n v="1"/>
    <n v="56"/>
    <n v="4"/>
    <s v="Male"/>
    <n v="37"/>
    <n v="3"/>
    <n v="3"/>
    <s v="Sales Executive"/>
    <x v="2"/>
    <s v="Single"/>
    <x v="42"/>
    <n v="2975"/>
    <n v="1"/>
    <s v="Y"/>
    <s v="No"/>
    <n v="15"/>
    <n v="3"/>
    <n v="4"/>
    <n v="80"/>
    <n v="0"/>
    <n v="9"/>
    <n v="0"/>
    <n v="3"/>
    <n v="9"/>
    <n v="8"/>
    <n v="1"/>
    <n v="7"/>
    <s v="5+ yrs"/>
  </r>
  <r>
    <n v="30"/>
    <x v="1"/>
    <s v="Travel_Frequently"/>
    <n v="721"/>
    <x v="1"/>
    <n v="1"/>
    <n v="2"/>
    <s v="Medical"/>
    <n v="1"/>
    <n v="57"/>
    <n v="3"/>
    <s v="Female"/>
    <n v="58"/>
    <n v="3"/>
    <n v="2"/>
    <s v="Laboratory Technician"/>
    <x v="0"/>
    <s v="Single"/>
    <x v="20"/>
    <n v="10781"/>
    <n v="1"/>
    <s v="Y"/>
    <s v="No"/>
    <n v="23"/>
    <n v="4"/>
    <n v="4"/>
    <n v="80"/>
    <n v="0"/>
    <n v="12"/>
    <n v="2"/>
    <n v="3"/>
    <n v="12"/>
    <n v="8"/>
    <n v="3"/>
    <n v="7"/>
    <s v="5+ yrs"/>
  </r>
  <r>
    <n v="41"/>
    <x v="0"/>
    <s v="Travel_Rarely"/>
    <n v="1360"/>
    <x v="1"/>
    <n v="12"/>
    <n v="3"/>
    <s v="Technical Degree"/>
    <n v="1"/>
    <n v="58"/>
    <n v="2"/>
    <s v="Female"/>
    <n v="49"/>
    <n v="3"/>
    <n v="5"/>
    <s v="Research Director"/>
    <x v="2"/>
    <s v="Married"/>
    <x v="43"/>
    <n v="16280"/>
    <n v="1"/>
    <s v="Y"/>
    <s v="No"/>
    <n v="12"/>
    <n v="3"/>
    <n v="4"/>
    <n v="80"/>
    <n v="0"/>
    <n v="23"/>
    <n v="0"/>
    <n v="3"/>
    <n v="22"/>
    <n v="15"/>
    <n v="15"/>
    <n v="8"/>
    <s v="5+ yrs"/>
  </r>
  <r>
    <n v="34"/>
    <x v="1"/>
    <s v="Non-Travel"/>
    <n v="1065"/>
    <x v="0"/>
    <n v="23"/>
    <n v="4"/>
    <s v="Marketing"/>
    <n v="1"/>
    <n v="60"/>
    <n v="2"/>
    <s v="Male"/>
    <n v="72"/>
    <n v="3"/>
    <n v="2"/>
    <s v="Sales Executive"/>
    <x v="2"/>
    <s v="Single"/>
    <x v="44"/>
    <n v="10034"/>
    <n v="0"/>
    <s v="Y"/>
    <s v="No"/>
    <n v="20"/>
    <n v="4"/>
    <n v="3"/>
    <n v="80"/>
    <n v="0"/>
    <n v="10"/>
    <n v="2"/>
    <n v="3"/>
    <n v="9"/>
    <n v="5"/>
    <n v="8"/>
    <n v="7"/>
    <s v="5+ yrs"/>
  </r>
  <r>
    <n v="37"/>
    <x v="1"/>
    <s v="Travel_Rarely"/>
    <n v="408"/>
    <x v="1"/>
    <n v="19"/>
    <n v="2"/>
    <s v="Life Sciences"/>
    <n v="1"/>
    <n v="61"/>
    <n v="2"/>
    <s v="Male"/>
    <n v="73"/>
    <n v="3"/>
    <n v="1"/>
    <s v="Research Scientist"/>
    <x v="1"/>
    <s v="Married"/>
    <x v="45"/>
    <n v="10227"/>
    <n v="4"/>
    <s v="Y"/>
    <s v="No"/>
    <n v="21"/>
    <n v="4"/>
    <n v="1"/>
    <n v="80"/>
    <n v="0"/>
    <n v="8"/>
    <n v="1"/>
    <n v="3"/>
    <n v="1"/>
    <n v="0"/>
    <n v="0"/>
    <n v="0"/>
    <s v="0-2 yrs"/>
  </r>
  <r>
    <n v="46"/>
    <x v="1"/>
    <s v="Travel_Frequently"/>
    <n v="1211"/>
    <x v="0"/>
    <n v="5"/>
    <n v="4"/>
    <s v="Marketing"/>
    <n v="1"/>
    <n v="62"/>
    <n v="1"/>
    <s v="Male"/>
    <n v="98"/>
    <n v="3"/>
    <n v="2"/>
    <s v="Sales Executive"/>
    <x v="0"/>
    <s v="Single"/>
    <x v="46"/>
    <n v="20445"/>
    <n v="4"/>
    <s v="Y"/>
    <s v="Yes"/>
    <n v="21"/>
    <n v="4"/>
    <n v="3"/>
    <n v="80"/>
    <n v="0"/>
    <n v="14"/>
    <n v="4"/>
    <n v="3"/>
    <n v="9"/>
    <n v="6"/>
    <n v="0"/>
    <n v="8"/>
    <s v="5+ yrs"/>
  </r>
  <r>
    <n v="35"/>
    <x v="1"/>
    <s v="Travel_Rarely"/>
    <n v="1229"/>
    <x v="1"/>
    <n v="8"/>
    <n v="1"/>
    <s v="Life Sciences"/>
    <n v="1"/>
    <n v="63"/>
    <n v="4"/>
    <s v="Male"/>
    <n v="36"/>
    <n v="4"/>
    <n v="1"/>
    <s v="Laboratory Technician"/>
    <x v="0"/>
    <s v="Married"/>
    <x v="47"/>
    <n v="4892"/>
    <n v="1"/>
    <s v="Y"/>
    <s v="No"/>
    <n v="19"/>
    <n v="3"/>
    <n v="4"/>
    <n v="80"/>
    <n v="0"/>
    <n v="1"/>
    <n v="2"/>
    <n v="3"/>
    <n v="1"/>
    <n v="0"/>
    <n v="0"/>
    <n v="1"/>
    <s v="0-2 yrs"/>
  </r>
  <r>
    <n v="48"/>
    <x v="0"/>
    <s v="Travel_Rarely"/>
    <n v="626"/>
    <x v="1"/>
    <n v="1"/>
    <n v="2"/>
    <s v="Life Sciences"/>
    <n v="1"/>
    <n v="64"/>
    <n v="1"/>
    <s v="Male"/>
    <n v="98"/>
    <n v="2"/>
    <n v="3"/>
    <s v="Laboratory Technician"/>
    <x v="2"/>
    <s v="Single"/>
    <x v="48"/>
    <n v="19294"/>
    <n v="9"/>
    <s v="Y"/>
    <s v="Yes"/>
    <n v="13"/>
    <n v="3"/>
    <n v="4"/>
    <n v="80"/>
    <n v="0"/>
    <n v="23"/>
    <n v="2"/>
    <n v="3"/>
    <n v="1"/>
    <n v="0"/>
    <n v="0"/>
    <n v="0"/>
    <s v="0-2 yrs"/>
  </r>
  <r>
    <n v="28"/>
    <x v="0"/>
    <s v="Travel_Rarely"/>
    <n v="1434"/>
    <x v="1"/>
    <n v="5"/>
    <n v="4"/>
    <s v="Technical Degree"/>
    <n v="1"/>
    <n v="65"/>
    <n v="3"/>
    <s v="Male"/>
    <n v="50"/>
    <n v="3"/>
    <n v="1"/>
    <s v="Laboratory Technician"/>
    <x v="2"/>
    <s v="Single"/>
    <x v="49"/>
    <n v="11179"/>
    <n v="1"/>
    <s v="Y"/>
    <s v="Yes"/>
    <n v="13"/>
    <n v="3"/>
    <n v="3"/>
    <n v="80"/>
    <n v="0"/>
    <n v="2"/>
    <n v="3"/>
    <n v="2"/>
    <n v="2"/>
    <n v="2"/>
    <n v="2"/>
    <n v="2"/>
    <s v="0-2 yrs"/>
  </r>
  <r>
    <n v="44"/>
    <x v="1"/>
    <s v="Travel_Rarely"/>
    <n v="1488"/>
    <x v="0"/>
    <n v="1"/>
    <n v="5"/>
    <s v="Marketing"/>
    <n v="1"/>
    <n v="68"/>
    <n v="2"/>
    <s v="Female"/>
    <n v="75"/>
    <n v="3"/>
    <n v="2"/>
    <s v="Sales Executive"/>
    <x v="3"/>
    <s v="Divorced"/>
    <x v="50"/>
    <n v="4009"/>
    <n v="5"/>
    <s v="Y"/>
    <s v="Yes"/>
    <n v="21"/>
    <n v="4"/>
    <n v="3"/>
    <n v="80"/>
    <n v="1"/>
    <n v="9"/>
    <n v="2"/>
    <n v="2"/>
    <n v="4"/>
    <n v="3"/>
    <n v="1"/>
    <n v="3"/>
    <s v="3-5 yrs"/>
  </r>
  <r>
    <n v="35"/>
    <x v="1"/>
    <s v="Non-Travel"/>
    <n v="1097"/>
    <x v="1"/>
    <n v="11"/>
    <n v="2"/>
    <s v="Medical"/>
    <n v="1"/>
    <n v="70"/>
    <n v="3"/>
    <s v="Male"/>
    <n v="79"/>
    <n v="2"/>
    <n v="3"/>
    <s v="Healthcare Representative"/>
    <x v="3"/>
    <s v="Married"/>
    <x v="51"/>
    <n v="8302"/>
    <n v="2"/>
    <s v="Y"/>
    <s v="Yes"/>
    <n v="13"/>
    <n v="3"/>
    <n v="3"/>
    <n v="80"/>
    <n v="1"/>
    <n v="10"/>
    <n v="3"/>
    <n v="3"/>
    <n v="4"/>
    <n v="0"/>
    <n v="2"/>
    <n v="3"/>
    <s v="3-5 yrs"/>
  </r>
  <r>
    <n v="26"/>
    <x v="1"/>
    <s v="Travel_Rarely"/>
    <n v="1443"/>
    <x v="0"/>
    <n v="23"/>
    <n v="3"/>
    <s v="Marketing"/>
    <n v="1"/>
    <n v="72"/>
    <n v="3"/>
    <s v="Female"/>
    <n v="47"/>
    <n v="2"/>
    <n v="2"/>
    <s v="Sales Executive"/>
    <x v="0"/>
    <s v="Married"/>
    <x v="52"/>
    <n v="21436"/>
    <n v="7"/>
    <s v="Y"/>
    <s v="Yes"/>
    <n v="19"/>
    <n v="3"/>
    <n v="3"/>
    <n v="80"/>
    <n v="1"/>
    <n v="5"/>
    <n v="2"/>
    <n v="2"/>
    <n v="2"/>
    <n v="2"/>
    <n v="0"/>
    <n v="0"/>
    <s v="0-2 yrs"/>
  </r>
  <r>
    <n v="33"/>
    <x v="1"/>
    <s v="Travel_Frequently"/>
    <n v="515"/>
    <x v="1"/>
    <n v="1"/>
    <n v="2"/>
    <s v="Life Sciences"/>
    <n v="1"/>
    <n v="73"/>
    <n v="1"/>
    <s v="Female"/>
    <n v="98"/>
    <n v="3"/>
    <n v="3"/>
    <s v="Research Director"/>
    <x v="0"/>
    <s v="Single"/>
    <x v="53"/>
    <n v="15146"/>
    <n v="1"/>
    <s v="Y"/>
    <s v="Yes"/>
    <n v="12"/>
    <n v="3"/>
    <n v="3"/>
    <n v="80"/>
    <n v="0"/>
    <n v="15"/>
    <n v="1"/>
    <n v="3"/>
    <n v="15"/>
    <n v="14"/>
    <n v="8"/>
    <n v="12"/>
    <s v="5+ yrs"/>
  </r>
  <r>
    <n v="35"/>
    <x v="1"/>
    <s v="Travel_Frequently"/>
    <n v="853"/>
    <x v="0"/>
    <n v="18"/>
    <n v="5"/>
    <s v="Life Sciences"/>
    <n v="1"/>
    <n v="74"/>
    <n v="2"/>
    <s v="Male"/>
    <n v="71"/>
    <n v="3"/>
    <n v="3"/>
    <s v="Sales Executive"/>
    <x v="3"/>
    <s v="Married"/>
    <x v="54"/>
    <n v="11031"/>
    <n v="1"/>
    <s v="Y"/>
    <s v="No"/>
    <n v="22"/>
    <n v="4"/>
    <n v="4"/>
    <n v="80"/>
    <n v="1"/>
    <n v="9"/>
    <n v="3"/>
    <n v="2"/>
    <n v="9"/>
    <n v="8"/>
    <n v="1"/>
    <n v="8"/>
    <s v="5+ yrs"/>
  </r>
  <r>
    <n v="35"/>
    <x v="1"/>
    <s v="Travel_Rarely"/>
    <n v="1142"/>
    <x v="1"/>
    <n v="23"/>
    <n v="4"/>
    <s v="Medical"/>
    <n v="1"/>
    <n v="75"/>
    <n v="3"/>
    <s v="Female"/>
    <n v="30"/>
    <n v="3"/>
    <n v="1"/>
    <s v="Laboratory Technician"/>
    <x v="3"/>
    <s v="Married"/>
    <x v="55"/>
    <n v="16002"/>
    <n v="3"/>
    <s v="Y"/>
    <s v="Yes"/>
    <n v="15"/>
    <n v="3"/>
    <n v="3"/>
    <n v="80"/>
    <n v="1"/>
    <n v="4"/>
    <n v="3"/>
    <n v="3"/>
    <n v="2"/>
    <n v="2"/>
    <n v="2"/>
    <n v="2"/>
    <s v="0-2 yrs"/>
  </r>
  <r>
    <n v="31"/>
    <x v="1"/>
    <s v="Travel_Rarely"/>
    <n v="655"/>
    <x v="1"/>
    <n v="7"/>
    <n v="4"/>
    <s v="Life Sciences"/>
    <n v="1"/>
    <n v="76"/>
    <n v="4"/>
    <s v="Male"/>
    <n v="48"/>
    <n v="3"/>
    <n v="2"/>
    <s v="Laboratory Technician"/>
    <x v="0"/>
    <s v="Divorced"/>
    <x v="56"/>
    <n v="9528"/>
    <n v="3"/>
    <s v="Y"/>
    <s v="No"/>
    <n v="22"/>
    <n v="4"/>
    <n v="4"/>
    <n v="80"/>
    <n v="1"/>
    <n v="10"/>
    <n v="3"/>
    <n v="2"/>
    <n v="7"/>
    <n v="7"/>
    <n v="1"/>
    <n v="7"/>
    <s v="5+ yrs"/>
  </r>
  <r>
    <n v="37"/>
    <x v="1"/>
    <s v="Travel_Rarely"/>
    <n v="1115"/>
    <x v="1"/>
    <n v="1"/>
    <n v="4"/>
    <s v="Life Sciences"/>
    <n v="1"/>
    <n v="77"/>
    <n v="1"/>
    <s v="Male"/>
    <n v="51"/>
    <n v="2"/>
    <n v="2"/>
    <s v="Manufacturing Director"/>
    <x v="2"/>
    <s v="Divorced"/>
    <x v="0"/>
    <n v="2689"/>
    <n v="1"/>
    <s v="Y"/>
    <s v="No"/>
    <n v="18"/>
    <n v="3"/>
    <n v="3"/>
    <n v="80"/>
    <n v="1"/>
    <n v="7"/>
    <n v="2"/>
    <n v="4"/>
    <n v="7"/>
    <n v="5"/>
    <n v="0"/>
    <n v="7"/>
    <s v="5+ yrs"/>
  </r>
  <r>
    <n v="32"/>
    <x v="1"/>
    <s v="Travel_Rarely"/>
    <n v="427"/>
    <x v="1"/>
    <n v="1"/>
    <n v="3"/>
    <s v="Medical"/>
    <n v="1"/>
    <n v="78"/>
    <n v="1"/>
    <s v="Male"/>
    <n v="33"/>
    <n v="3"/>
    <n v="2"/>
    <s v="Manufacturing Director"/>
    <x v="0"/>
    <s v="Married"/>
    <x v="57"/>
    <n v="10877"/>
    <n v="1"/>
    <s v="Y"/>
    <s v="Yes"/>
    <n v="22"/>
    <n v="4"/>
    <n v="2"/>
    <n v="80"/>
    <n v="1"/>
    <n v="9"/>
    <n v="3"/>
    <n v="3"/>
    <n v="9"/>
    <n v="8"/>
    <n v="7"/>
    <n v="8"/>
    <s v="5+ yrs"/>
  </r>
  <r>
    <n v="38"/>
    <x v="1"/>
    <s v="Travel_Frequently"/>
    <n v="653"/>
    <x v="1"/>
    <n v="29"/>
    <n v="5"/>
    <s v="Life Sciences"/>
    <n v="1"/>
    <n v="79"/>
    <n v="4"/>
    <s v="Female"/>
    <n v="50"/>
    <n v="3"/>
    <n v="2"/>
    <s v="Laboratory Technician"/>
    <x v="0"/>
    <s v="Single"/>
    <x v="58"/>
    <n v="5456"/>
    <n v="1"/>
    <s v="Y"/>
    <s v="No"/>
    <n v="11"/>
    <n v="3"/>
    <n v="4"/>
    <n v="80"/>
    <n v="0"/>
    <n v="10"/>
    <n v="2"/>
    <n v="3"/>
    <n v="10"/>
    <n v="3"/>
    <n v="9"/>
    <n v="9"/>
    <s v="5+ yrs"/>
  </r>
  <r>
    <n v="50"/>
    <x v="1"/>
    <s v="Travel_Rarely"/>
    <n v="989"/>
    <x v="1"/>
    <n v="7"/>
    <n v="2"/>
    <s v="Medical"/>
    <n v="1"/>
    <n v="80"/>
    <n v="2"/>
    <s v="Female"/>
    <n v="43"/>
    <n v="2"/>
    <n v="5"/>
    <s v="Research Director"/>
    <x v="2"/>
    <s v="Divorced"/>
    <x v="59"/>
    <n v="16701"/>
    <n v="5"/>
    <s v="Y"/>
    <s v="Yes"/>
    <n v="12"/>
    <n v="3"/>
    <n v="4"/>
    <n v="80"/>
    <n v="1"/>
    <n v="29"/>
    <n v="2"/>
    <n v="2"/>
    <n v="27"/>
    <n v="3"/>
    <n v="13"/>
    <n v="8"/>
    <s v="5+ yrs"/>
  </r>
  <r>
    <n v="59"/>
    <x v="1"/>
    <s v="Travel_Rarely"/>
    <n v="1435"/>
    <x v="0"/>
    <n v="25"/>
    <n v="3"/>
    <s v="Life Sciences"/>
    <n v="1"/>
    <n v="81"/>
    <n v="1"/>
    <s v="Female"/>
    <n v="99"/>
    <n v="3"/>
    <n v="3"/>
    <s v="Sales Executive"/>
    <x v="3"/>
    <s v="Single"/>
    <x v="60"/>
    <n v="2354"/>
    <n v="7"/>
    <s v="Y"/>
    <s v="No"/>
    <n v="11"/>
    <n v="3"/>
    <n v="4"/>
    <n v="80"/>
    <n v="0"/>
    <n v="28"/>
    <n v="3"/>
    <n v="2"/>
    <n v="21"/>
    <n v="16"/>
    <n v="7"/>
    <n v="9"/>
    <s v="5+ yrs"/>
  </r>
  <r>
    <n v="36"/>
    <x v="1"/>
    <s v="Travel_Rarely"/>
    <n v="1223"/>
    <x v="1"/>
    <n v="8"/>
    <n v="3"/>
    <s v="Technical Degree"/>
    <n v="1"/>
    <n v="83"/>
    <n v="3"/>
    <s v="Female"/>
    <n v="59"/>
    <n v="3"/>
    <n v="3"/>
    <s v="Healthcare Representative"/>
    <x v="2"/>
    <s v="Divorced"/>
    <x v="61"/>
    <n v="8202"/>
    <n v="1"/>
    <s v="Y"/>
    <s v="No"/>
    <n v="13"/>
    <n v="3"/>
    <n v="2"/>
    <n v="80"/>
    <n v="3"/>
    <n v="17"/>
    <n v="2"/>
    <n v="3"/>
    <n v="17"/>
    <n v="14"/>
    <n v="12"/>
    <n v="8"/>
    <s v="5+ yrs"/>
  </r>
  <r>
    <n v="55"/>
    <x v="1"/>
    <s v="Travel_Rarely"/>
    <n v="836"/>
    <x v="1"/>
    <n v="8"/>
    <n v="3"/>
    <s v="Medical"/>
    <n v="1"/>
    <n v="84"/>
    <n v="4"/>
    <s v="Female"/>
    <n v="33"/>
    <n v="3"/>
    <n v="4"/>
    <s v="Manager"/>
    <x v="2"/>
    <s v="Divorced"/>
    <x v="62"/>
    <n v="19730"/>
    <n v="2"/>
    <s v="Y"/>
    <s v="Yes"/>
    <n v="14"/>
    <n v="3"/>
    <n v="3"/>
    <n v="80"/>
    <n v="3"/>
    <n v="21"/>
    <n v="2"/>
    <n v="3"/>
    <n v="5"/>
    <n v="0"/>
    <n v="0"/>
    <n v="2"/>
    <s v="3-5 yrs"/>
  </r>
  <r>
    <n v="36"/>
    <x v="1"/>
    <s v="Travel_Frequently"/>
    <n v="1195"/>
    <x v="1"/>
    <n v="11"/>
    <n v="3"/>
    <s v="Life Sciences"/>
    <n v="1"/>
    <n v="85"/>
    <n v="2"/>
    <s v="Male"/>
    <n v="95"/>
    <n v="2"/>
    <n v="2"/>
    <s v="Manufacturing Director"/>
    <x v="1"/>
    <s v="Single"/>
    <x v="63"/>
    <n v="22656"/>
    <n v="1"/>
    <s v="Y"/>
    <s v="No"/>
    <n v="13"/>
    <n v="3"/>
    <n v="3"/>
    <n v="80"/>
    <n v="0"/>
    <n v="6"/>
    <n v="3"/>
    <n v="3"/>
    <n v="6"/>
    <n v="5"/>
    <n v="0"/>
    <n v="3"/>
    <s v="5+ yrs"/>
  </r>
  <r>
    <n v="45"/>
    <x v="1"/>
    <s v="Travel_Rarely"/>
    <n v="1339"/>
    <x v="1"/>
    <n v="7"/>
    <n v="3"/>
    <s v="Life Sciences"/>
    <n v="1"/>
    <n v="86"/>
    <n v="2"/>
    <s v="Male"/>
    <n v="59"/>
    <n v="3"/>
    <n v="3"/>
    <s v="Research Scientist"/>
    <x v="3"/>
    <s v="Divorced"/>
    <x v="64"/>
    <n v="18787"/>
    <n v="2"/>
    <s v="Y"/>
    <s v="No"/>
    <n v="17"/>
    <n v="3"/>
    <n v="3"/>
    <n v="80"/>
    <n v="1"/>
    <n v="25"/>
    <n v="2"/>
    <n v="3"/>
    <n v="1"/>
    <n v="0"/>
    <n v="0"/>
    <n v="0"/>
    <s v="0-2 yrs"/>
  </r>
  <r>
    <n v="35"/>
    <x v="1"/>
    <s v="Travel_Frequently"/>
    <n v="664"/>
    <x v="1"/>
    <n v="1"/>
    <n v="3"/>
    <s v="Medical"/>
    <n v="1"/>
    <n v="88"/>
    <n v="2"/>
    <s v="Male"/>
    <n v="79"/>
    <n v="3"/>
    <n v="1"/>
    <s v="Research Scientist"/>
    <x v="3"/>
    <s v="Married"/>
    <x v="65"/>
    <n v="5868"/>
    <n v="4"/>
    <s v="Y"/>
    <s v="No"/>
    <n v="13"/>
    <n v="3"/>
    <n v="4"/>
    <n v="80"/>
    <n v="1"/>
    <n v="5"/>
    <n v="2"/>
    <n v="2"/>
    <n v="3"/>
    <n v="2"/>
    <n v="1"/>
    <n v="2"/>
    <s v="3-5 yrs"/>
  </r>
  <r>
    <n v="36"/>
    <x v="0"/>
    <s v="Travel_Rarely"/>
    <n v="318"/>
    <x v="1"/>
    <n v="9"/>
    <n v="3"/>
    <s v="Medical"/>
    <n v="1"/>
    <n v="90"/>
    <n v="4"/>
    <s v="Male"/>
    <n v="79"/>
    <n v="2"/>
    <n v="1"/>
    <s v="Research Scientist"/>
    <x v="2"/>
    <s v="Married"/>
    <x v="66"/>
    <n v="21777"/>
    <n v="0"/>
    <s v="Y"/>
    <s v="Yes"/>
    <n v="17"/>
    <n v="3"/>
    <n v="1"/>
    <n v="80"/>
    <n v="1"/>
    <n v="2"/>
    <n v="0"/>
    <n v="2"/>
    <n v="1"/>
    <n v="0"/>
    <n v="0"/>
    <n v="0"/>
    <s v="0-2 yrs"/>
  </r>
  <r>
    <n v="59"/>
    <x v="1"/>
    <s v="Travel_Frequently"/>
    <n v="1225"/>
    <x v="0"/>
    <n v="1"/>
    <n v="1"/>
    <s v="Life Sciences"/>
    <n v="1"/>
    <n v="91"/>
    <n v="1"/>
    <s v="Female"/>
    <n v="57"/>
    <n v="2"/>
    <n v="2"/>
    <s v="Sales Executive"/>
    <x v="2"/>
    <s v="Single"/>
    <x v="67"/>
    <n v="24668"/>
    <n v="7"/>
    <s v="Y"/>
    <s v="No"/>
    <n v="11"/>
    <n v="3"/>
    <n v="4"/>
    <n v="80"/>
    <n v="0"/>
    <n v="20"/>
    <n v="2"/>
    <n v="2"/>
    <n v="4"/>
    <n v="3"/>
    <n v="1"/>
    <n v="3"/>
    <s v="3-5 yrs"/>
  </r>
  <r>
    <n v="29"/>
    <x v="1"/>
    <s v="Travel_Rarely"/>
    <n v="1328"/>
    <x v="1"/>
    <n v="2"/>
    <n v="3"/>
    <s v="Life Sciences"/>
    <n v="1"/>
    <n v="94"/>
    <n v="3"/>
    <s v="Male"/>
    <n v="76"/>
    <n v="3"/>
    <n v="1"/>
    <s v="Research Scientist"/>
    <x v="1"/>
    <s v="Married"/>
    <x v="68"/>
    <n v="4956"/>
    <n v="0"/>
    <s v="Y"/>
    <s v="No"/>
    <n v="23"/>
    <n v="4"/>
    <n v="4"/>
    <n v="80"/>
    <n v="1"/>
    <n v="6"/>
    <n v="3"/>
    <n v="3"/>
    <n v="5"/>
    <n v="4"/>
    <n v="0"/>
    <n v="4"/>
    <s v="3-5 yrs"/>
  </r>
  <r>
    <n v="31"/>
    <x v="1"/>
    <s v="Travel_Rarely"/>
    <n v="1082"/>
    <x v="1"/>
    <n v="1"/>
    <n v="4"/>
    <s v="Medical"/>
    <n v="1"/>
    <n v="95"/>
    <n v="3"/>
    <s v="Male"/>
    <n v="87"/>
    <n v="3"/>
    <n v="1"/>
    <s v="Research Scientist"/>
    <x v="1"/>
    <s v="Single"/>
    <x v="69"/>
    <n v="18775"/>
    <n v="1"/>
    <s v="Y"/>
    <s v="No"/>
    <n v="17"/>
    <n v="3"/>
    <n v="2"/>
    <n v="80"/>
    <n v="0"/>
    <n v="1"/>
    <n v="4"/>
    <n v="3"/>
    <n v="1"/>
    <n v="1"/>
    <n v="1"/>
    <n v="0"/>
    <s v="0-2 yrs"/>
  </r>
  <r>
    <n v="32"/>
    <x v="1"/>
    <s v="Travel_Rarely"/>
    <n v="548"/>
    <x v="1"/>
    <n v="1"/>
    <n v="3"/>
    <s v="Life Sciences"/>
    <n v="1"/>
    <n v="96"/>
    <n v="2"/>
    <s v="Male"/>
    <n v="66"/>
    <n v="3"/>
    <n v="2"/>
    <s v="Research Scientist"/>
    <x v="1"/>
    <s v="Married"/>
    <x v="70"/>
    <n v="7346"/>
    <n v="1"/>
    <s v="Y"/>
    <s v="No"/>
    <n v="17"/>
    <n v="3"/>
    <n v="2"/>
    <n v="80"/>
    <n v="2"/>
    <n v="10"/>
    <n v="3"/>
    <n v="3"/>
    <n v="10"/>
    <n v="4"/>
    <n v="0"/>
    <n v="9"/>
    <s v="5+ yrs"/>
  </r>
  <r>
    <n v="36"/>
    <x v="1"/>
    <s v="Travel_Rarely"/>
    <n v="132"/>
    <x v="1"/>
    <n v="6"/>
    <n v="3"/>
    <s v="Life Sciences"/>
    <n v="1"/>
    <n v="97"/>
    <n v="2"/>
    <s v="Female"/>
    <n v="55"/>
    <n v="4"/>
    <n v="1"/>
    <s v="Laboratory Technician"/>
    <x v="0"/>
    <s v="Married"/>
    <x v="71"/>
    <n v="22002"/>
    <n v="3"/>
    <s v="Y"/>
    <s v="No"/>
    <n v="12"/>
    <n v="3"/>
    <n v="2"/>
    <n v="80"/>
    <n v="0"/>
    <n v="5"/>
    <n v="3"/>
    <n v="3"/>
    <n v="1"/>
    <n v="0"/>
    <n v="0"/>
    <n v="0"/>
    <s v="0-2 yrs"/>
  </r>
  <r>
    <n v="31"/>
    <x v="1"/>
    <s v="Travel_Rarely"/>
    <n v="746"/>
    <x v="1"/>
    <n v="8"/>
    <n v="4"/>
    <s v="Life Sciences"/>
    <n v="1"/>
    <n v="98"/>
    <n v="3"/>
    <s v="Female"/>
    <n v="61"/>
    <n v="3"/>
    <n v="2"/>
    <s v="Manufacturing Director"/>
    <x v="0"/>
    <s v="Single"/>
    <x v="72"/>
    <n v="20682"/>
    <n v="1"/>
    <s v="Y"/>
    <s v="No"/>
    <n v="23"/>
    <n v="4"/>
    <n v="4"/>
    <n v="80"/>
    <n v="0"/>
    <n v="11"/>
    <n v="2"/>
    <n v="3"/>
    <n v="11"/>
    <n v="7"/>
    <n v="1"/>
    <n v="8"/>
    <s v="5+ yrs"/>
  </r>
  <r>
    <n v="35"/>
    <x v="1"/>
    <s v="Travel_Rarely"/>
    <n v="776"/>
    <x v="0"/>
    <n v="1"/>
    <n v="4"/>
    <s v="Marketing"/>
    <n v="1"/>
    <n v="100"/>
    <n v="3"/>
    <s v="Male"/>
    <n v="32"/>
    <n v="2"/>
    <n v="2"/>
    <s v="Sales Executive"/>
    <x v="3"/>
    <s v="Single"/>
    <x v="73"/>
    <n v="23016"/>
    <n v="0"/>
    <s v="Y"/>
    <s v="No"/>
    <n v="14"/>
    <n v="3"/>
    <n v="2"/>
    <n v="80"/>
    <n v="0"/>
    <n v="16"/>
    <n v="2"/>
    <n v="3"/>
    <n v="15"/>
    <n v="13"/>
    <n v="2"/>
    <n v="8"/>
    <s v="5+ yrs"/>
  </r>
  <r>
    <n v="45"/>
    <x v="1"/>
    <s v="Travel_Rarely"/>
    <n v="193"/>
    <x v="1"/>
    <n v="6"/>
    <n v="4"/>
    <s v="Other"/>
    <n v="1"/>
    <n v="101"/>
    <n v="4"/>
    <s v="Male"/>
    <n v="52"/>
    <n v="3"/>
    <n v="3"/>
    <s v="Research Director"/>
    <x v="3"/>
    <s v="Married"/>
    <x v="74"/>
    <n v="15067"/>
    <n v="4"/>
    <s v="Y"/>
    <s v="Yes"/>
    <n v="14"/>
    <n v="3"/>
    <n v="2"/>
    <n v="80"/>
    <n v="0"/>
    <n v="17"/>
    <n v="3"/>
    <n v="4"/>
    <n v="0"/>
    <n v="0"/>
    <n v="0"/>
    <n v="0"/>
    <s v="0-2 yrs"/>
  </r>
  <r>
    <n v="37"/>
    <x v="1"/>
    <s v="Travel_Rarely"/>
    <n v="397"/>
    <x v="1"/>
    <n v="7"/>
    <n v="4"/>
    <s v="Medical"/>
    <n v="1"/>
    <n v="102"/>
    <n v="1"/>
    <s v="Male"/>
    <n v="30"/>
    <n v="3"/>
    <n v="3"/>
    <s v="Research Director"/>
    <x v="2"/>
    <s v="Single"/>
    <x v="75"/>
    <n v="25258"/>
    <n v="4"/>
    <s v="Y"/>
    <s v="No"/>
    <n v="13"/>
    <n v="3"/>
    <n v="1"/>
    <n v="80"/>
    <n v="0"/>
    <n v="16"/>
    <n v="3"/>
    <n v="4"/>
    <n v="5"/>
    <n v="2"/>
    <n v="0"/>
    <n v="2"/>
    <s v="3-5 yrs"/>
  </r>
  <r>
    <n v="46"/>
    <x v="1"/>
    <s v="Travel_Rarely"/>
    <n v="945"/>
    <x v="2"/>
    <n v="5"/>
    <n v="2"/>
    <s v="Medical"/>
    <n v="1"/>
    <n v="103"/>
    <n v="2"/>
    <s v="Male"/>
    <n v="80"/>
    <n v="3"/>
    <n v="2"/>
    <s v="Human Resources"/>
    <x v="1"/>
    <s v="Divorced"/>
    <x v="76"/>
    <n v="10425"/>
    <n v="8"/>
    <s v="Y"/>
    <s v="Yes"/>
    <n v="22"/>
    <n v="4"/>
    <n v="4"/>
    <n v="80"/>
    <n v="1"/>
    <n v="16"/>
    <n v="2"/>
    <n v="3"/>
    <n v="4"/>
    <n v="2"/>
    <n v="0"/>
    <n v="2"/>
    <s v="3-5 yrs"/>
  </r>
  <r>
    <n v="30"/>
    <x v="1"/>
    <s v="Travel_Rarely"/>
    <n v="852"/>
    <x v="1"/>
    <n v="1"/>
    <n v="1"/>
    <s v="Life Sciences"/>
    <n v="1"/>
    <n v="104"/>
    <n v="4"/>
    <s v="Male"/>
    <n v="55"/>
    <n v="2"/>
    <n v="2"/>
    <s v="Laboratory Technician"/>
    <x v="0"/>
    <s v="Married"/>
    <x v="77"/>
    <n v="15998"/>
    <n v="1"/>
    <s v="Y"/>
    <s v="Yes"/>
    <n v="12"/>
    <n v="3"/>
    <n v="3"/>
    <n v="80"/>
    <n v="2"/>
    <n v="10"/>
    <n v="1"/>
    <n v="2"/>
    <n v="10"/>
    <n v="8"/>
    <n v="3"/>
    <n v="0"/>
    <s v="5+ yrs"/>
  </r>
  <r>
    <n v="35"/>
    <x v="1"/>
    <s v="Travel_Rarely"/>
    <n v="1214"/>
    <x v="1"/>
    <n v="1"/>
    <n v="3"/>
    <s v="Medical"/>
    <n v="1"/>
    <n v="105"/>
    <n v="2"/>
    <s v="Male"/>
    <n v="30"/>
    <n v="2"/>
    <n v="1"/>
    <s v="Research Scientist"/>
    <x v="2"/>
    <s v="Single"/>
    <x v="78"/>
    <n v="26278"/>
    <n v="1"/>
    <s v="Y"/>
    <s v="No"/>
    <n v="18"/>
    <n v="3"/>
    <n v="1"/>
    <n v="80"/>
    <n v="0"/>
    <n v="6"/>
    <n v="3"/>
    <n v="3"/>
    <n v="6"/>
    <n v="4"/>
    <n v="0"/>
    <n v="4"/>
    <s v="5+ yrs"/>
  </r>
  <r>
    <n v="55"/>
    <x v="1"/>
    <s v="Travel_Rarely"/>
    <n v="111"/>
    <x v="0"/>
    <n v="1"/>
    <n v="2"/>
    <s v="Life Sciences"/>
    <n v="1"/>
    <n v="106"/>
    <n v="1"/>
    <s v="Male"/>
    <n v="70"/>
    <n v="3"/>
    <n v="3"/>
    <s v="Sales Executive"/>
    <x v="0"/>
    <s v="Married"/>
    <x v="79"/>
    <n v="18092"/>
    <n v="3"/>
    <s v="Y"/>
    <s v="No"/>
    <n v="14"/>
    <n v="3"/>
    <n v="4"/>
    <n v="80"/>
    <n v="1"/>
    <n v="24"/>
    <n v="4"/>
    <n v="3"/>
    <n v="1"/>
    <n v="0"/>
    <n v="1"/>
    <n v="0"/>
    <s v="0-2 yrs"/>
  </r>
  <r>
    <n v="38"/>
    <x v="1"/>
    <s v="Non-Travel"/>
    <n v="573"/>
    <x v="1"/>
    <n v="6"/>
    <n v="3"/>
    <s v="Medical"/>
    <n v="1"/>
    <n v="107"/>
    <n v="2"/>
    <s v="Female"/>
    <n v="79"/>
    <n v="1"/>
    <n v="2"/>
    <s v="Research Scientist"/>
    <x v="0"/>
    <s v="Divorced"/>
    <x v="80"/>
    <n v="15717"/>
    <n v="7"/>
    <s v="Y"/>
    <s v="Yes"/>
    <n v="12"/>
    <n v="3"/>
    <n v="4"/>
    <n v="80"/>
    <n v="3"/>
    <n v="17"/>
    <n v="3"/>
    <n v="3"/>
    <n v="13"/>
    <n v="11"/>
    <n v="1"/>
    <n v="9"/>
    <s v="5+ yrs"/>
  </r>
  <r>
    <n v="34"/>
    <x v="1"/>
    <s v="Travel_Rarely"/>
    <n v="1153"/>
    <x v="1"/>
    <n v="1"/>
    <n v="2"/>
    <s v="Medical"/>
    <n v="1"/>
    <n v="110"/>
    <n v="1"/>
    <s v="Male"/>
    <n v="94"/>
    <n v="3"/>
    <n v="2"/>
    <s v="Manufacturing Director"/>
    <x v="1"/>
    <s v="Married"/>
    <x v="81"/>
    <n v="17736"/>
    <n v="1"/>
    <s v="Y"/>
    <s v="No"/>
    <n v="15"/>
    <n v="3"/>
    <n v="3"/>
    <n v="80"/>
    <n v="0"/>
    <n v="5"/>
    <n v="2"/>
    <n v="3"/>
    <n v="5"/>
    <n v="2"/>
    <n v="1"/>
    <n v="3"/>
    <s v="3-5 yrs"/>
  </r>
  <r>
    <n v="56"/>
    <x v="1"/>
    <s v="Travel_Rarely"/>
    <n v="1400"/>
    <x v="1"/>
    <n v="7"/>
    <n v="3"/>
    <s v="Life Sciences"/>
    <n v="1"/>
    <n v="112"/>
    <n v="4"/>
    <s v="Male"/>
    <n v="49"/>
    <n v="1"/>
    <n v="3"/>
    <s v="Manufacturing Director"/>
    <x v="0"/>
    <s v="Single"/>
    <x v="82"/>
    <n v="21698"/>
    <n v="4"/>
    <s v="Y"/>
    <s v="No"/>
    <n v="11"/>
    <n v="3"/>
    <n v="1"/>
    <n v="80"/>
    <n v="0"/>
    <n v="37"/>
    <n v="3"/>
    <n v="2"/>
    <n v="6"/>
    <n v="4"/>
    <n v="0"/>
    <n v="2"/>
    <s v="5+ yrs"/>
  </r>
  <r>
    <n v="23"/>
    <x v="1"/>
    <s v="Travel_Rarely"/>
    <n v="541"/>
    <x v="0"/>
    <n v="2"/>
    <n v="1"/>
    <s v="Technical Degree"/>
    <n v="1"/>
    <n v="113"/>
    <n v="3"/>
    <s v="Male"/>
    <n v="62"/>
    <n v="3"/>
    <n v="1"/>
    <s v="Sales Representative"/>
    <x v="3"/>
    <s v="Divorced"/>
    <x v="83"/>
    <n v="9518"/>
    <n v="3"/>
    <s v="Y"/>
    <s v="No"/>
    <n v="13"/>
    <n v="3"/>
    <n v="3"/>
    <n v="80"/>
    <n v="1"/>
    <n v="3"/>
    <n v="3"/>
    <n v="3"/>
    <n v="0"/>
    <n v="0"/>
    <n v="0"/>
    <n v="0"/>
    <s v="0-2 yrs"/>
  </r>
  <r>
    <n v="51"/>
    <x v="1"/>
    <s v="Travel_Rarely"/>
    <n v="432"/>
    <x v="1"/>
    <n v="9"/>
    <n v="4"/>
    <s v="Life Sciences"/>
    <n v="1"/>
    <n v="116"/>
    <n v="4"/>
    <s v="Male"/>
    <n v="96"/>
    <n v="3"/>
    <n v="1"/>
    <s v="Laboratory Technician"/>
    <x v="0"/>
    <s v="Married"/>
    <x v="84"/>
    <n v="18725"/>
    <n v="3"/>
    <s v="Y"/>
    <s v="No"/>
    <n v="23"/>
    <n v="4"/>
    <n v="2"/>
    <n v="80"/>
    <n v="2"/>
    <n v="10"/>
    <n v="4"/>
    <n v="3"/>
    <n v="4"/>
    <n v="2"/>
    <n v="0"/>
    <n v="3"/>
    <s v="3-5 yrs"/>
  </r>
  <r>
    <n v="30"/>
    <x v="1"/>
    <s v="Travel_Rarely"/>
    <n v="288"/>
    <x v="1"/>
    <n v="2"/>
    <n v="3"/>
    <s v="Life Sciences"/>
    <n v="1"/>
    <n v="117"/>
    <n v="3"/>
    <s v="Male"/>
    <n v="99"/>
    <n v="2"/>
    <n v="2"/>
    <s v="Healthcare Representative"/>
    <x v="0"/>
    <s v="Married"/>
    <x v="85"/>
    <n v="15830"/>
    <n v="1"/>
    <s v="Y"/>
    <s v="No"/>
    <n v="19"/>
    <n v="3"/>
    <n v="1"/>
    <n v="80"/>
    <n v="3"/>
    <n v="11"/>
    <n v="3"/>
    <n v="3"/>
    <n v="11"/>
    <n v="10"/>
    <n v="10"/>
    <n v="8"/>
    <s v="5+ yrs"/>
  </r>
  <r>
    <n v="46"/>
    <x v="0"/>
    <s v="Travel_Rarely"/>
    <n v="669"/>
    <x v="0"/>
    <n v="9"/>
    <n v="2"/>
    <s v="Medical"/>
    <n v="1"/>
    <n v="118"/>
    <n v="3"/>
    <s v="Male"/>
    <n v="64"/>
    <n v="2"/>
    <n v="3"/>
    <s v="Sales Executive"/>
    <x v="0"/>
    <s v="Single"/>
    <x v="86"/>
    <n v="13596"/>
    <n v="1"/>
    <s v="Y"/>
    <s v="No"/>
    <n v="16"/>
    <n v="3"/>
    <n v="4"/>
    <n v="80"/>
    <n v="0"/>
    <n v="9"/>
    <n v="3"/>
    <n v="3"/>
    <n v="9"/>
    <n v="8"/>
    <n v="4"/>
    <n v="7"/>
    <s v="5+ yrs"/>
  </r>
  <r>
    <n v="40"/>
    <x v="1"/>
    <s v="Travel_Frequently"/>
    <n v="530"/>
    <x v="1"/>
    <n v="1"/>
    <n v="4"/>
    <s v="Life Sciences"/>
    <n v="1"/>
    <n v="119"/>
    <n v="3"/>
    <s v="Male"/>
    <n v="78"/>
    <n v="2"/>
    <n v="4"/>
    <s v="Healthcare Representative"/>
    <x v="1"/>
    <s v="Married"/>
    <x v="87"/>
    <n v="14115"/>
    <n v="1"/>
    <s v="Y"/>
    <s v="No"/>
    <n v="22"/>
    <n v="4"/>
    <n v="4"/>
    <n v="80"/>
    <n v="1"/>
    <n v="22"/>
    <n v="3"/>
    <n v="2"/>
    <n v="22"/>
    <n v="3"/>
    <n v="11"/>
    <n v="11"/>
    <s v="5+ yrs"/>
  </r>
  <r>
    <n v="51"/>
    <x v="1"/>
    <s v="Travel_Rarely"/>
    <n v="632"/>
    <x v="0"/>
    <n v="21"/>
    <n v="4"/>
    <s v="Marketing"/>
    <n v="1"/>
    <n v="120"/>
    <n v="3"/>
    <s v="Male"/>
    <n v="71"/>
    <n v="3"/>
    <n v="2"/>
    <s v="Sales Executive"/>
    <x v="0"/>
    <s v="Single"/>
    <x v="88"/>
    <n v="8423"/>
    <n v="0"/>
    <s v="Y"/>
    <s v="Yes"/>
    <n v="22"/>
    <n v="4"/>
    <n v="4"/>
    <n v="80"/>
    <n v="0"/>
    <n v="11"/>
    <n v="2"/>
    <n v="1"/>
    <n v="10"/>
    <n v="7"/>
    <n v="1"/>
    <n v="0"/>
    <s v="5+ yrs"/>
  </r>
  <r>
    <n v="30"/>
    <x v="1"/>
    <s v="Travel_Rarely"/>
    <n v="1334"/>
    <x v="0"/>
    <n v="4"/>
    <n v="2"/>
    <s v="Medical"/>
    <n v="1"/>
    <n v="121"/>
    <n v="3"/>
    <s v="Female"/>
    <n v="63"/>
    <n v="2"/>
    <n v="2"/>
    <s v="Sales Executive"/>
    <x v="1"/>
    <s v="Divorced"/>
    <x v="89"/>
    <n v="19760"/>
    <n v="1"/>
    <s v="Y"/>
    <s v="Yes"/>
    <n v="12"/>
    <n v="3"/>
    <n v="2"/>
    <n v="80"/>
    <n v="3"/>
    <n v="11"/>
    <n v="4"/>
    <n v="2"/>
    <n v="11"/>
    <n v="8"/>
    <n v="2"/>
    <n v="7"/>
    <s v="5+ yrs"/>
  </r>
  <r>
    <n v="46"/>
    <x v="1"/>
    <s v="Travel_Frequently"/>
    <n v="638"/>
    <x v="1"/>
    <n v="1"/>
    <n v="3"/>
    <s v="Medical"/>
    <n v="1"/>
    <n v="124"/>
    <n v="3"/>
    <s v="Male"/>
    <n v="40"/>
    <n v="2"/>
    <n v="3"/>
    <s v="Healthcare Representative"/>
    <x v="3"/>
    <s v="Married"/>
    <x v="90"/>
    <n v="3142"/>
    <n v="2"/>
    <s v="Y"/>
    <s v="Yes"/>
    <n v="13"/>
    <n v="3"/>
    <n v="3"/>
    <n v="80"/>
    <n v="1"/>
    <n v="21"/>
    <n v="5"/>
    <n v="2"/>
    <n v="10"/>
    <n v="9"/>
    <n v="9"/>
    <n v="5"/>
    <s v="5+ yrs"/>
  </r>
  <r>
    <n v="32"/>
    <x v="1"/>
    <s v="Travel_Rarely"/>
    <n v="1093"/>
    <x v="0"/>
    <n v="6"/>
    <n v="4"/>
    <s v="Medical"/>
    <n v="1"/>
    <n v="125"/>
    <n v="2"/>
    <s v="Male"/>
    <n v="87"/>
    <n v="3"/>
    <n v="2"/>
    <s v="Sales Executive"/>
    <x v="2"/>
    <s v="Single"/>
    <x v="91"/>
    <n v="24301"/>
    <n v="1"/>
    <s v="Y"/>
    <s v="No"/>
    <n v="16"/>
    <n v="3"/>
    <n v="1"/>
    <n v="80"/>
    <n v="0"/>
    <n v="12"/>
    <n v="0"/>
    <n v="3"/>
    <n v="11"/>
    <n v="8"/>
    <n v="5"/>
    <n v="7"/>
    <s v="5+ yrs"/>
  </r>
  <r>
    <n v="54"/>
    <x v="1"/>
    <s v="Travel_Rarely"/>
    <n v="1217"/>
    <x v="1"/>
    <n v="2"/>
    <n v="4"/>
    <s v="Technical Degree"/>
    <n v="1"/>
    <n v="126"/>
    <n v="1"/>
    <s v="Female"/>
    <n v="60"/>
    <n v="3"/>
    <n v="3"/>
    <s v="Research Director"/>
    <x v="2"/>
    <s v="Married"/>
    <x v="92"/>
    <n v="24001"/>
    <n v="9"/>
    <s v="Y"/>
    <s v="No"/>
    <n v="12"/>
    <n v="3"/>
    <n v="1"/>
    <n v="80"/>
    <n v="1"/>
    <n v="16"/>
    <n v="5"/>
    <n v="1"/>
    <n v="4"/>
    <n v="3"/>
    <n v="0"/>
    <n v="3"/>
    <s v="3-5 yrs"/>
  </r>
  <r>
    <n v="24"/>
    <x v="1"/>
    <s v="Travel_Rarely"/>
    <n v="1353"/>
    <x v="0"/>
    <n v="3"/>
    <n v="2"/>
    <s v="Other"/>
    <n v="1"/>
    <n v="128"/>
    <n v="1"/>
    <s v="Female"/>
    <n v="33"/>
    <n v="3"/>
    <n v="2"/>
    <s v="Sales Executive"/>
    <x v="2"/>
    <s v="Married"/>
    <x v="93"/>
    <n v="17519"/>
    <n v="0"/>
    <s v="Y"/>
    <s v="No"/>
    <n v="21"/>
    <n v="4"/>
    <n v="1"/>
    <n v="80"/>
    <n v="1"/>
    <n v="4"/>
    <n v="2"/>
    <n v="2"/>
    <n v="3"/>
    <n v="2"/>
    <n v="0"/>
    <n v="2"/>
    <s v="3-5 yrs"/>
  </r>
  <r>
    <n v="28"/>
    <x v="1"/>
    <s v="Non-Travel"/>
    <n v="120"/>
    <x v="0"/>
    <n v="4"/>
    <n v="3"/>
    <s v="Medical"/>
    <n v="1"/>
    <n v="129"/>
    <n v="2"/>
    <s v="Male"/>
    <n v="43"/>
    <n v="3"/>
    <n v="2"/>
    <s v="Sales Executive"/>
    <x v="2"/>
    <s v="Married"/>
    <x v="94"/>
    <n v="8863"/>
    <n v="1"/>
    <s v="Y"/>
    <s v="No"/>
    <n v="15"/>
    <n v="3"/>
    <n v="2"/>
    <n v="80"/>
    <n v="0"/>
    <n v="5"/>
    <n v="3"/>
    <n v="4"/>
    <n v="5"/>
    <n v="4"/>
    <n v="0"/>
    <n v="4"/>
    <s v="3-5 yrs"/>
  </r>
  <r>
    <n v="58"/>
    <x v="1"/>
    <s v="Travel_Rarely"/>
    <n v="682"/>
    <x v="0"/>
    <n v="10"/>
    <n v="4"/>
    <s v="Medical"/>
    <n v="1"/>
    <n v="131"/>
    <n v="4"/>
    <s v="Male"/>
    <n v="37"/>
    <n v="3"/>
    <n v="4"/>
    <s v="Sales Executive"/>
    <x v="2"/>
    <s v="Single"/>
    <x v="95"/>
    <n v="24409"/>
    <n v="0"/>
    <s v="Y"/>
    <s v="No"/>
    <n v="13"/>
    <n v="3"/>
    <n v="3"/>
    <n v="80"/>
    <n v="0"/>
    <n v="38"/>
    <n v="1"/>
    <n v="2"/>
    <n v="37"/>
    <n v="10"/>
    <n v="1"/>
    <n v="8"/>
    <s v="5+ yrs"/>
  </r>
  <r>
    <n v="44"/>
    <x v="1"/>
    <s v="Non-Travel"/>
    <n v="489"/>
    <x v="1"/>
    <n v="23"/>
    <n v="3"/>
    <s v="Medical"/>
    <n v="1"/>
    <n v="132"/>
    <n v="2"/>
    <s v="Male"/>
    <n v="67"/>
    <n v="3"/>
    <n v="2"/>
    <s v="Laboratory Technician"/>
    <x v="1"/>
    <s v="Married"/>
    <x v="96"/>
    <n v="25043"/>
    <n v="4"/>
    <s v="Y"/>
    <s v="No"/>
    <n v="12"/>
    <n v="3"/>
    <n v="3"/>
    <n v="80"/>
    <n v="1"/>
    <n v="17"/>
    <n v="3"/>
    <n v="4"/>
    <n v="3"/>
    <n v="2"/>
    <n v="1"/>
    <n v="2"/>
    <s v="3-5 yrs"/>
  </r>
  <r>
    <n v="37"/>
    <x v="0"/>
    <s v="Travel_Rarely"/>
    <n v="807"/>
    <x v="2"/>
    <n v="6"/>
    <n v="4"/>
    <s v="Human Resources"/>
    <n v="1"/>
    <n v="133"/>
    <n v="3"/>
    <s v="Male"/>
    <n v="63"/>
    <n v="3"/>
    <n v="1"/>
    <s v="Human Resources"/>
    <x v="3"/>
    <s v="Divorced"/>
    <x v="97"/>
    <n v="23648"/>
    <n v="4"/>
    <s v="Y"/>
    <s v="Yes"/>
    <n v="22"/>
    <n v="4"/>
    <n v="4"/>
    <n v="80"/>
    <n v="0"/>
    <n v="7"/>
    <n v="3"/>
    <n v="3"/>
    <n v="3"/>
    <n v="2"/>
    <n v="0"/>
    <n v="2"/>
    <s v="3-5 yrs"/>
  </r>
  <r>
    <n v="32"/>
    <x v="1"/>
    <s v="Travel_Rarely"/>
    <n v="827"/>
    <x v="1"/>
    <n v="1"/>
    <n v="1"/>
    <s v="Life Sciences"/>
    <n v="1"/>
    <n v="134"/>
    <n v="4"/>
    <s v="Male"/>
    <n v="71"/>
    <n v="3"/>
    <n v="1"/>
    <s v="Research Scientist"/>
    <x v="3"/>
    <s v="Single"/>
    <x v="98"/>
    <n v="15178"/>
    <n v="1"/>
    <s v="Y"/>
    <s v="No"/>
    <n v="13"/>
    <n v="3"/>
    <n v="4"/>
    <n v="80"/>
    <n v="0"/>
    <n v="1"/>
    <n v="2"/>
    <n v="3"/>
    <n v="1"/>
    <n v="0"/>
    <n v="0"/>
    <n v="0"/>
    <s v="0-2 yrs"/>
  </r>
  <r>
    <n v="20"/>
    <x v="0"/>
    <s v="Travel_Frequently"/>
    <n v="871"/>
    <x v="1"/>
    <n v="6"/>
    <n v="3"/>
    <s v="Life Sciences"/>
    <n v="1"/>
    <n v="137"/>
    <n v="4"/>
    <s v="Female"/>
    <n v="66"/>
    <n v="2"/>
    <n v="1"/>
    <s v="Laboratory Technician"/>
    <x v="0"/>
    <s v="Single"/>
    <x v="99"/>
    <n v="19783"/>
    <n v="1"/>
    <s v="Y"/>
    <s v="Yes"/>
    <n v="18"/>
    <n v="3"/>
    <n v="2"/>
    <n v="80"/>
    <n v="0"/>
    <n v="1"/>
    <n v="5"/>
    <n v="3"/>
    <n v="1"/>
    <n v="0"/>
    <n v="1"/>
    <n v="0"/>
    <s v="0-2 yrs"/>
  </r>
  <r>
    <n v="34"/>
    <x v="1"/>
    <s v="Travel_Rarely"/>
    <n v="665"/>
    <x v="1"/>
    <n v="6"/>
    <n v="4"/>
    <s v="Other"/>
    <n v="1"/>
    <n v="138"/>
    <n v="1"/>
    <s v="Female"/>
    <n v="41"/>
    <n v="3"/>
    <n v="2"/>
    <s v="Research Scientist"/>
    <x v="2"/>
    <s v="Single"/>
    <x v="100"/>
    <n v="12482"/>
    <n v="1"/>
    <s v="Y"/>
    <s v="No"/>
    <n v="14"/>
    <n v="3"/>
    <n v="3"/>
    <n v="80"/>
    <n v="0"/>
    <n v="16"/>
    <n v="3"/>
    <n v="3"/>
    <n v="16"/>
    <n v="13"/>
    <n v="2"/>
    <n v="10"/>
    <s v="5+ yrs"/>
  </r>
  <r>
    <n v="37"/>
    <x v="1"/>
    <s v="Non-Travel"/>
    <n v="1040"/>
    <x v="1"/>
    <n v="2"/>
    <n v="2"/>
    <s v="Life Sciences"/>
    <n v="1"/>
    <n v="139"/>
    <n v="3"/>
    <s v="Male"/>
    <n v="100"/>
    <n v="2"/>
    <n v="2"/>
    <s v="Healthcare Representative"/>
    <x v="0"/>
    <s v="Divorced"/>
    <x v="101"/>
    <n v="15850"/>
    <n v="5"/>
    <s v="Y"/>
    <s v="No"/>
    <n v="14"/>
    <n v="3"/>
    <n v="4"/>
    <n v="80"/>
    <n v="1"/>
    <n v="17"/>
    <n v="2"/>
    <n v="4"/>
    <n v="1"/>
    <n v="0"/>
    <n v="0"/>
    <n v="0"/>
    <s v="0-2 yrs"/>
  </r>
  <r>
    <n v="59"/>
    <x v="1"/>
    <s v="Non-Travel"/>
    <n v="1420"/>
    <x v="2"/>
    <n v="2"/>
    <n v="4"/>
    <s v="Human Resources"/>
    <n v="1"/>
    <n v="140"/>
    <n v="3"/>
    <s v="Female"/>
    <n v="32"/>
    <n v="2"/>
    <n v="5"/>
    <s v="Manager"/>
    <x v="0"/>
    <s v="Married"/>
    <x v="102"/>
    <n v="21922"/>
    <n v="9"/>
    <s v="Y"/>
    <s v="No"/>
    <n v="21"/>
    <n v="4"/>
    <n v="4"/>
    <n v="80"/>
    <n v="1"/>
    <n v="30"/>
    <n v="3"/>
    <n v="3"/>
    <n v="3"/>
    <n v="2"/>
    <n v="2"/>
    <n v="2"/>
    <s v="3-5 yrs"/>
  </r>
  <r>
    <n v="50"/>
    <x v="1"/>
    <s v="Travel_Frequently"/>
    <n v="1115"/>
    <x v="1"/>
    <n v="1"/>
    <n v="3"/>
    <s v="Life Sciences"/>
    <n v="1"/>
    <n v="141"/>
    <n v="1"/>
    <s v="Female"/>
    <n v="73"/>
    <n v="3"/>
    <n v="5"/>
    <s v="Research Director"/>
    <x v="1"/>
    <s v="Married"/>
    <x v="103"/>
    <n v="9755"/>
    <n v="3"/>
    <s v="Y"/>
    <s v="Yes"/>
    <n v="19"/>
    <n v="3"/>
    <n v="1"/>
    <n v="80"/>
    <n v="0"/>
    <n v="28"/>
    <n v="1"/>
    <n v="2"/>
    <n v="8"/>
    <n v="3"/>
    <n v="0"/>
    <n v="7"/>
    <s v="5+ yrs"/>
  </r>
  <r>
    <n v="25"/>
    <x v="0"/>
    <s v="Travel_Rarely"/>
    <n v="240"/>
    <x v="0"/>
    <n v="5"/>
    <n v="3"/>
    <s v="Marketing"/>
    <n v="1"/>
    <n v="142"/>
    <n v="3"/>
    <s v="Male"/>
    <n v="46"/>
    <n v="2"/>
    <n v="2"/>
    <s v="Sales Executive"/>
    <x v="2"/>
    <s v="Single"/>
    <x v="104"/>
    <n v="26959"/>
    <n v="1"/>
    <s v="Y"/>
    <s v="Yes"/>
    <n v="11"/>
    <n v="3"/>
    <n v="4"/>
    <n v="80"/>
    <n v="0"/>
    <n v="6"/>
    <n v="1"/>
    <n v="3"/>
    <n v="6"/>
    <n v="4"/>
    <n v="0"/>
    <n v="3"/>
    <s v="5+ yrs"/>
  </r>
  <r>
    <n v="25"/>
    <x v="1"/>
    <s v="Travel_Rarely"/>
    <n v="1280"/>
    <x v="1"/>
    <n v="7"/>
    <n v="1"/>
    <s v="Medical"/>
    <n v="1"/>
    <n v="143"/>
    <n v="4"/>
    <s v="Male"/>
    <n v="64"/>
    <n v="2"/>
    <n v="1"/>
    <s v="Research Scientist"/>
    <x v="0"/>
    <s v="Married"/>
    <x v="105"/>
    <n v="26897"/>
    <n v="1"/>
    <s v="Y"/>
    <s v="No"/>
    <n v="11"/>
    <n v="3"/>
    <n v="3"/>
    <n v="80"/>
    <n v="2"/>
    <n v="2"/>
    <n v="2"/>
    <n v="3"/>
    <n v="2"/>
    <n v="2"/>
    <n v="2"/>
    <n v="1"/>
    <s v="0-2 yrs"/>
  </r>
  <r>
    <n v="22"/>
    <x v="1"/>
    <s v="Travel_Rarely"/>
    <n v="534"/>
    <x v="1"/>
    <n v="15"/>
    <n v="3"/>
    <s v="Medical"/>
    <n v="1"/>
    <n v="144"/>
    <n v="2"/>
    <s v="Female"/>
    <n v="59"/>
    <n v="3"/>
    <n v="1"/>
    <s v="Laboratory Technician"/>
    <x v="0"/>
    <s v="Single"/>
    <x v="106"/>
    <n v="23785"/>
    <n v="1"/>
    <s v="Y"/>
    <s v="No"/>
    <n v="15"/>
    <n v="3"/>
    <n v="3"/>
    <n v="80"/>
    <n v="0"/>
    <n v="1"/>
    <n v="5"/>
    <n v="3"/>
    <n v="0"/>
    <n v="0"/>
    <n v="0"/>
    <n v="0"/>
    <s v="0-2 yrs"/>
  </r>
  <r>
    <n v="51"/>
    <x v="1"/>
    <s v="Travel_Frequently"/>
    <n v="1456"/>
    <x v="1"/>
    <n v="1"/>
    <n v="4"/>
    <s v="Medical"/>
    <n v="1"/>
    <n v="145"/>
    <n v="1"/>
    <s v="Female"/>
    <n v="30"/>
    <n v="2"/>
    <n v="3"/>
    <s v="Healthcare Representative"/>
    <x v="3"/>
    <s v="Single"/>
    <x v="107"/>
    <n v="25796"/>
    <n v="3"/>
    <s v="Y"/>
    <s v="No"/>
    <n v="20"/>
    <n v="4"/>
    <n v="3"/>
    <n v="80"/>
    <n v="0"/>
    <n v="23"/>
    <n v="1"/>
    <n v="2"/>
    <n v="13"/>
    <n v="12"/>
    <n v="12"/>
    <n v="8"/>
    <s v="5+ yrs"/>
  </r>
  <r>
    <n v="34"/>
    <x v="0"/>
    <s v="Travel_Frequently"/>
    <n v="658"/>
    <x v="1"/>
    <n v="7"/>
    <n v="3"/>
    <s v="Life Sciences"/>
    <n v="1"/>
    <n v="147"/>
    <n v="1"/>
    <s v="Male"/>
    <n v="66"/>
    <n v="1"/>
    <n v="2"/>
    <s v="Laboratory Technician"/>
    <x v="2"/>
    <s v="Single"/>
    <x v="108"/>
    <n v="22887"/>
    <n v="1"/>
    <s v="Y"/>
    <s v="Yes"/>
    <n v="24"/>
    <n v="4"/>
    <n v="4"/>
    <n v="80"/>
    <n v="0"/>
    <n v="9"/>
    <n v="3"/>
    <n v="3"/>
    <n v="9"/>
    <n v="7"/>
    <n v="0"/>
    <n v="6"/>
    <s v="5+ yrs"/>
  </r>
  <r>
    <n v="54"/>
    <x v="1"/>
    <s v="Non-Travel"/>
    <n v="142"/>
    <x v="2"/>
    <n v="26"/>
    <n v="3"/>
    <s v="Human Resources"/>
    <n v="1"/>
    <n v="148"/>
    <n v="4"/>
    <s v="Female"/>
    <n v="30"/>
    <n v="4"/>
    <n v="4"/>
    <s v="Manager"/>
    <x v="0"/>
    <s v="Single"/>
    <x v="109"/>
    <n v="13871"/>
    <n v="2"/>
    <s v="Y"/>
    <s v="Yes"/>
    <n v="12"/>
    <n v="3"/>
    <n v="3"/>
    <n v="80"/>
    <n v="0"/>
    <n v="23"/>
    <n v="3"/>
    <n v="3"/>
    <n v="5"/>
    <n v="3"/>
    <n v="4"/>
    <n v="4"/>
    <s v="3-5 yrs"/>
  </r>
  <r>
    <n v="24"/>
    <x v="1"/>
    <s v="Travel_Rarely"/>
    <n v="1127"/>
    <x v="1"/>
    <n v="18"/>
    <n v="1"/>
    <s v="Life Sciences"/>
    <n v="1"/>
    <n v="150"/>
    <n v="2"/>
    <s v="Male"/>
    <n v="52"/>
    <n v="3"/>
    <n v="1"/>
    <s v="Laboratory Technician"/>
    <x v="2"/>
    <s v="Married"/>
    <x v="110"/>
    <n v="13257"/>
    <n v="0"/>
    <s v="Y"/>
    <s v="No"/>
    <n v="12"/>
    <n v="3"/>
    <n v="3"/>
    <n v="80"/>
    <n v="1"/>
    <n v="6"/>
    <n v="2"/>
    <n v="3"/>
    <n v="5"/>
    <n v="3"/>
    <n v="1"/>
    <n v="2"/>
    <s v="3-5 yrs"/>
  </r>
  <r>
    <n v="34"/>
    <x v="1"/>
    <s v="Travel_Rarely"/>
    <n v="1031"/>
    <x v="1"/>
    <n v="6"/>
    <n v="4"/>
    <s v="Life Sciences"/>
    <n v="1"/>
    <n v="151"/>
    <n v="3"/>
    <s v="Female"/>
    <n v="45"/>
    <n v="2"/>
    <n v="2"/>
    <s v="Research Scientist"/>
    <x v="1"/>
    <s v="Divorced"/>
    <x v="111"/>
    <n v="15000"/>
    <n v="6"/>
    <s v="Y"/>
    <s v="No"/>
    <n v="15"/>
    <n v="3"/>
    <n v="3"/>
    <n v="80"/>
    <n v="1"/>
    <n v="12"/>
    <n v="3"/>
    <n v="3"/>
    <n v="1"/>
    <n v="0"/>
    <n v="0"/>
    <n v="0"/>
    <s v="0-2 yrs"/>
  </r>
  <r>
    <n v="37"/>
    <x v="1"/>
    <s v="Travel_Rarely"/>
    <n v="1189"/>
    <x v="0"/>
    <n v="3"/>
    <n v="3"/>
    <s v="Life Sciences"/>
    <n v="1"/>
    <n v="152"/>
    <n v="3"/>
    <s v="Male"/>
    <n v="87"/>
    <n v="3"/>
    <n v="3"/>
    <s v="Sales Executive"/>
    <x v="0"/>
    <s v="Single"/>
    <x v="112"/>
    <n v="14506"/>
    <n v="2"/>
    <s v="Y"/>
    <s v="No"/>
    <n v="12"/>
    <n v="3"/>
    <n v="1"/>
    <n v="80"/>
    <n v="0"/>
    <n v="12"/>
    <n v="3"/>
    <n v="3"/>
    <n v="5"/>
    <n v="3"/>
    <n v="1"/>
    <n v="3"/>
    <s v="3-5 yrs"/>
  </r>
  <r>
    <n v="34"/>
    <x v="1"/>
    <s v="Travel_Rarely"/>
    <n v="1354"/>
    <x v="1"/>
    <n v="5"/>
    <n v="3"/>
    <s v="Medical"/>
    <n v="1"/>
    <n v="153"/>
    <n v="3"/>
    <s v="Female"/>
    <n v="45"/>
    <n v="2"/>
    <n v="3"/>
    <s v="Manager"/>
    <x v="3"/>
    <s v="Single"/>
    <x v="113"/>
    <n v="5615"/>
    <n v="2"/>
    <s v="Y"/>
    <s v="No"/>
    <n v="12"/>
    <n v="3"/>
    <n v="4"/>
    <n v="80"/>
    <n v="0"/>
    <n v="14"/>
    <n v="6"/>
    <n v="3"/>
    <n v="11"/>
    <n v="10"/>
    <n v="5"/>
    <n v="8"/>
    <s v="5+ yrs"/>
  </r>
  <r>
    <n v="36"/>
    <x v="1"/>
    <s v="Travel_Frequently"/>
    <n v="1467"/>
    <x v="0"/>
    <n v="11"/>
    <n v="2"/>
    <s v="Technical Degree"/>
    <n v="1"/>
    <n v="154"/>
    <n v="2"/>
    <s v="Female"/>
    <n v="92"/>
    <n v="3"/>
    <n v="3"/>
    <s v="Sales Executive"/>
    <x v="0"/>
    <s v="Married"/>
    <x v="114"/>
    <n v="22952"/>
    <n v="0"/>
    <s v="Y"/>
    <s v="No"/>
    <n v="14"/>
    <n v="3"/>
    <n v="3"/>
    <n v="80"/>
    <n v="1"/>
    <n v="10"/>
    <n v="6"/>
    <n v="3"/>
    <n v="9"/>
    <n v="7"/>
    <n v="2"/>
    <n v="8"/>
    <s v="5+ yrs"/>
  </r>
  <r>
    <n v="36"/>
    <x v="1"/>
    <s v="Travel_Rarely"/>
    <n v="922"/>
    <x v="1"/>
    <n v="3"/>
    <n v="2"/>
    <s v="Life Sciences"/>
    <n v="1"/>
    <n v="155"/>
    <n v="1"/>
    <s v="Female"/>
    <n v="39"/>
    <n v="3"/>
    <n v="1"/>
    <s v="Laboratory Technician"/>
    <x v="0"/>
    <s v="Divorced"/>
    <x v="115"/>
    <n v="2561"/>
    <n v="5"/>
    <s v="Y"/>
    <s v="No"/>
    <n v="22"/>
    <n v="4"/>
    <n v="1"/>
    <n v="80"/>
    <n v="1"/>
    <n v="7"/>
    <n v="2"/>
    <n v="3"/>
    <n v="1"/>
    <n v="0"/>
    <n v="0"/>
    <n v="0"/>
    <s v="0-2 yrs"/>
  </r>
  <r>
    <n v="43"/>
    <x v="1"/>
    <s v="Travel_Frequently"/>
    <n v="394"/>
    <x v="0"/>
    <n v="26"/>
    <n v="2"/>
    <s v="Life Sciences"/>
    <n v="1"/>
    <n v="158"/>
    <n v="3"/>
    <s v="Male"/>
    <n v="92"/>
    <n v="3"/>
    <n v="4"/>
    <s v="Manager"/>
    <x v="0"/>
    <s v="Married"/>
    <x v="116"/>
    <n v="19494"/>
    <n v="1"/>
    <s v="Y"/>
    <s v="Yes"/>
    <n v="12"/>
    <n v="3"/>
    <n v="4"/>
    <n v="80"/>
    <n v="2"/>
    <n v="25"/>
    <n v="3"/>
    <n v="4"/>
    <n v="25"/>
    <n v="12"/>
    <n v="4"/>
    <n v="12"/>
    <s v="5+ yrs"/>
  </r>
  <r>
    <n v="30"/>
    <x v="1"/>
    <s v="Travel_Frequently"/>
    <n v="1312"/>
    <x v="1"/>
    <n v="23"/>
    <n v="3"/>
    <s v="Life Sciences"/>
    <n v="1"/>
    <n v="159"/>
    <n v="1"/>
    <s v="Male"/>
    <n v="96"/>
    <n v="1"/>
    <n v="1"/>
    <s v="Research Scientist"/>
    <x v="2"/>
    <s v="Divorced"/>
    <x v="117"/>
    <n v="22310"/>
    <n v="1"/>
    <s v="Y"/>
    <s v="No"/>
    <n v="25"/>
    <n v="4"/>
    <n v="3"/>
    <n v="80"/>
    <n v="3"/>
    <n v="10"/>
    <n v="2"/>
    <n v="2"/>
    <n v="10"/>
    <n v="7"/>
    <n v="0"/>
    <n v="9"/>
    <s v="5+ yrs"/>
  </r>
  <r>
    <n v="33"/>
    <x v="1"/>
    <s v="Non-Travel"/>
    <n v="750"/>
    <x v="0"/>
    <n v="22"/>
    <n v="2"/>
    <s v="Marketing"/>
    <n v="1"/>
    <n v="160"/>
    <n v="3"/>
    <s v="Male"/>
    <n v="95"/>
    <n v="3"/>
    <n v="2"/>
    <s v="Sales Executive"/>
    <x v="1"/>
    <s v="Married"/>
    <x v="118"/>
    <n v="15480"/>
    <n v="0"/>
    <s v="Y"/>
    <s v="No"/>
    <n v="13"/>
    <n v="3"/>
    <n v="1"/>
    <n v="80"/>
    <n v="1"/>
    <n v="8"/>
    <n v="2"/>
    <n v="4"/>
    <n v="7"/>
    <n v="7"/>
    <n v="0"/>
    <n v="7"/>
    <s v="5+ yrs"/>
  </r>
  <r>
    <n v="56"/>
    <x v="0"/>
    <s v="Travel_Rarely"/>
    <n v="441"/>
    <x v="1"/>
    <n v="14"/>
    <n v="4"/>
    <s v="Life Sciences"/>
    <n v="1"/>
    <n v="161"/>
    <n v="2"/>
    <s v="Female"/>
    <n v="72"/>
    <n v="3"/>
    <n v="1"/>
    <s v="Research Scientist"/>
    <x v="1"/>
    <s v="Married"/>
    <x v="119"/>
    <n v="4510"/>
    <n v="9"/>
    <s v="Y"/>
    <s v="Yes"/>
    <n v="18"/>
    <n v="3"/>
    <n v="1"/>
    <n v="80"/>
    <n v="3"/>
    <n v="7"/>
    <n v="2"/>
    <n v="3"/>
    <n v="5"/>
    <n v="4"/>
    <n v="4"/>
    <n v="3"/>
    <s v="3-5 yrs"/>
  </r>
  <r>
    <n v="51"/>
    <x v="1"/>
    <s v="Travel_Rarely"/>
    <n v="684"/>
    <x v="1"/>
    <n v="6"/>
    <n v="3"/>
    <s v="Life Sciences"/>
    <n v="1"/>
    <n v="162"/>
    <n v="1"/>
    <s v="Male"/>
    <n v="51"/>
    <n v="3"/>
    <n v="5"/>
    <s v="Research Director"/>
    <x v="2"/>
    <s v="Single"/>
    <x v="120"/>
    <n v="6462"/>
    <n v="7"/>
    <s v="Y"/>
    <s v="No"/>
    <n v="13"/>
    <n v="3"/>
    <n v="3"/>
    <n v="80"/>
    <n v="0"/>
    <n v="23"/>
    <n v="5"/>
    <n v="3"/>
    <n v="20"/>
    <n v="18"/>
    <n v="15"/>
    <n v="15"/>
    <s v="5+ yrs"/>
  </r>
  <r>
    <n v="31"/>
    <x v="0"/>
    <s v="Travel_Rarely"/>
    <n v="249"/>
    <x v="0"/>
    <n v="6"/>
    <n v="4"/>
    <s v="Life Sciences"/>
    <n v="1"/>
    <n v="163"/>
    <n v="2"/>
    <s v="Male"/>
    <n v="76"/>
    <n v="1"/>
    <n v="2"/>
    <s v="Sales Executive"/>
    <x v="2"/>
    <s v="Married"/>
    <x v="121"/>
    <n v="20739"/>
    <n v="4"/>
    <s v="Y"/>
    <s v="Yes"/>
    <n v="18"/>
    <n v="3"/>
    <n v="2"/>
    <n v="80"/>
    <n v="0"/>
    <n v="12"/>
    <n v="3"/>
    <n v="2"/>
    <n v="7"/>
    <n v="7"/>
    <n v="7"/>
    <n v="7"/>
    <s v="5+ yrs"/>
  </r>
  <r>
    <n v="26"/>
    <x v="1"/>
    <s v="Travel_Rarely"/>
    <n v="841"/>
    <x v="1"/>
    <n v="6"/>
    <n v="3"/>
    <s v="Other"/>
    <n v="1"/>
    <n v="164"/>
    <n v="3"/>
    <s v="Female"/>
    <n v="46"/>
    <n v="2"/>
    <n v="1"/>
    <s v="Research Scientist"/>
    <x v="1"/>
    <s v="Married"/>
    <x v="122"/>
    <n v="23300"/>
    <n v="1"/>
    <s v="Y"/>
    <s v="No"/>
    <n v="19"/>
    <n v="3"/>
    <n v="3"/>
    <n v="80"/>
    <n v="0"/>
    <n v="5"/>
    <n v="3"/>
    <n v="2"/>
    <n v="5"/>
    <n v="4"/>
    <n v="4"/>
    <n v="3"/>
    <s v="3-5 yrs"/>
  </r>
  <r>
    <n v="58"/>
    <x v="0"/>
    <s v="Travel_Rarely"/>
    <n v="147"/>
    <x v="1"/>
    <n v="23"/>
    <n v="4"/>
    <s v="Medical"/>
    <n v="1"/>
    <n v="165"/>
    <n v="4"/>
    <s v="Female"/>
    <n v="94"/>
    <n v="3"/>
    <n v="3"/>
    <s v="Healthcare Representative"/>
    <x v="0"/>
    <s v="Married"/>
    <x v="123"/>
    <n v="3465"/>
    <n v="1"/>
    <s v="Y"/>
    <s v="No"/>
    <n v="12"/>
    <n v="3"/>
    <n v="4"/>
    <n v="80"/>
    <n v="1"/>
    <n v="40"/>
    <n v="3"/>
    <n v="2"/>
    <n v="40"/>
    <n v="10"/>
    <n v="15"/>
    <n v="6"/>
    <s v="5+ yrs"/>
  </r>
  <r>
    <n v="19"/>
    <x v="0"/>
    <s v="Travel_Rarely"/>
    <n v="528"/>
    <x v="0"/>
    <n v="22"/>
    <n v="1"/>
    <s v="Marketing"/>
    <n v="1"/>
    <n v="167"/>
    <n v="4"/>
    <s v="Male"/>
    <n v="50"/>
    <n v="3"/>
    <n v="1"/>
    <s v="Sales Representative"/>
    <x v="2"/>
    <s v="Single"/>
    <x v="124"/>
    <n v="26820"/>
    <n v="1"/>
    <s v="Y"/>
    <s v="Yes"/>
    <n v="19"/>
    <n v="3"/>
    <n v="4"/>
    <n v="80"/>
    <n v="0"/>
    <n v="0"/>
    <n v="2"/>
    <n v="2"/>
    <n v="0"/>
    <n v="0"/>
    <n v="0"/>
    <n v="0"/>
    <s v="0-2 yrs"/>
  </r>
  <r>
    <n v="22"/>
    <x v="1"/>
    <s v="Travel_Rarely"/>
    <n v="594"/>
    <x v="1"/>
    <n v="2"/>
    <n v="1"/>
    <s v="Technical Degree"/>
    <n v="1"/>
    <n v="169"/>
    <n v="3"/>
    <s v="Male"/>
    <n v="100"/>
    <n v="3"/>
    <n v="1"/>
    <s v="Laboratory Technician"/>
    <x v="0"/>
    <s v="Married"/>
    <x v="125"/>
    <n v="19299"/>
    <n v="0"/>
    <s v="Y"/>
    <s v="No"/>
    <n v="14"/>
    <n v="3"/>
    <n v="3"/>
    <n v="80"/>
    <n v="1"/>
    <n v="3"/>
    <n v="2"/>
    <n v="3"/>
    <n v="2"/>
    <n v="1"/>
    <n v="2"/>
    <n v="1"/>
    <s v="0-2 yrs"/>
  </r>
  <r>
    <n v="49"/>
    <x v="1"/>
    <s v="Travel_Rarely"/>
    <n v="470"/>
    <x v="1"/>
    <n v="20"/>
    <n v="4"/>
    <s v="Medical"/>
    <n v="1"/>
    <n v="170"/>
    <n v="3"/>
    <s v="Female"/>
    <n v="96"/>
    <n v="3"/>
    <n v="2"/>
    <s v="Manufacturing Director"/>
    <x v="3"/>
    <s v="Married"/>
    <x v="126"/>
    <n v="5549"/>
    <n v="1"/>
    <s v="Y"/>
    <s v="No"/>
    <n v="14"/>
    <n v="3"/>
    <n v="3"/>
    <n v="80"/>
    <n v="0"/>
    <n v="16"/>
    <n v="2"/>
    <n v="2"/>
    <n v="15"/>
    <n v="11"/>
    <n v="5"/>
    <n v="11"/>
    <s v="5+ yrs"/>
  </r>
  <r>
    <n v="43"/>
    <x v="1"/>
    <s v="Travel_Frequently"/>
    <n v="957"/>
    <x v="1"/>
    <n v="28"/>
    <n v="3"/>
    <s v="Medical"/>
    <n v="1"/>
    <n v="171"/>
    <n v="2"/>
    <s v="Female"/>
    <n v="72"/>
    <n v="4"/>
    <n v="1"/>
    <s v="Research Scientist"/>
    <x v="2"/>
    <s v="Single"/>
    <x v="127"/>
    <n v="16090"/>
    <n v="4"/>
    <s v="Y"/>
    <s v="No"/>
    <n v="12"/>
    <n v="3"/>
    <n v="4"/>
    <n v="80"/>
    <n v="0"/>
    <n v="18"/>
    <n v="2"/>
    <n v="3"/>
    <n v="3"/>
    <n v="2"/>
    <n v="1"/>
    <n v="2"/>
    <s v="3-5 yrs"/>
  </r>
  <r>
    <n v="50"/>
    <x v="1"/>
    <s v="Travel_Frequently"/>
    <n v="809"/>
    <x v="0"/>
    <n v="12"/>
    <n v="3"/>
    <s v="Marketing"/>
    <n v="1"/>
    <n v="174"/>
    <n v="3"/>
    <s v="Female"/>
    <n v="77"/>
    <n v="3"/>
    <n v="3"/>
    <s v="Sales Executive"/>
    <x v="0"/>
    <s v="Single"/>
    <x v="128"/>
    <n v="6645"/>
    <n v="4"/>
    <s v="Y"/>
    <s v="No"/>
    <n v="11"/>
    <n v="3"/>
    <n v="4"/>
    <n v="80"/>
    <n v="0"/>
    <n v="16"/>
    <n v="3"/>
    <n v="3"/>
    <n v="2"/>
    <n v="2"/>
    <n v="2"/>
    <n v="1"/>
    <s v="0-2 yrs"/>
  </r>
  <r>
    <n v="31"/>
    <x v="0"/>
    <s v="Travel_Rarely"/>
    <n v="542"/>
    <x v="0"/>
    <n v="20"/>
    <n v="3"/>
    <s v="Life Sciences"/>
    <n v="1"/>
    <n v="175"/>
    <n v="2"/>
    <s v="Female"/>
    <n v="71"/>
    <n v="1"/>
    <n v="2"/>
    <s v="Sales Executive"/>
    <x v="2"/>
    <s v="Married"/>
    <x v="129"/>
    <n v="24788"/>
    <n v="3"/>
    <s v="Y"/>
    <s v="Yes"/>
    <n v="11"/>
    <n v="3"/>
    <n v="3"/>
    <n v="80"/>
    <n v="1"/>
    <n v="4"/>
    <n v="2"/>
    <n v="3"/>
    <n v="2"/>
    <n v="2"/>
    <n v="2"/>
    <n v="2"/>
    <s v="0-2 yrs"/>
  </r>
  <r>
    <n v="41"/>
    <x v="1"/>
    <s v="Travel_Rarely"/>
    <n v="802"/>
    <x v="0"/>
    <n v="9"/>
    <n v="1"/>
    <s v="Life Sciences"/>
    <n v="1"/>
    <n v="176"/>
    <n v="3"/>
    <s v="Male"/>
    <n v="96"/>
    <n v="3"/>
    <n v="3"/>
    <s v="Sales Executive"/>
    <x v="2"/>
    <s v="Divorced"/>
    <x v="130"/>
    <n v="21196"/>
    <n v="3"/>
    <s v="Y"/>
    <s v="Yes"/>
    <n v="13"/>
    <n v="3"/>
    <n v="3"/>
    <n v="80"/>
    <n v="1"/>
    <n v="12"/>
    <n v="2"/>
    <n v="3"/>
    <n v="9"/>
    <n v="7"/>
    <n v="0"/>
    <n v="7"/>
    <s v="5+ yrs"/>
  </r>
  <r>
    <n v="26"/>
    <x v="1"/>
    <s v="Travel_Rarely"/>
    <n v="1355"/>
    <x v="2"/>
    <n v="25"/>
    <n v="1"/>
    <s v="Life Sciences"/>
    <n v="1"/>
    <n v="177"/>
    <n v="3"/>
    <s v="Female"/>
    <n v="61"/>
    <n v="3"/>
    <n v="1"/>
    <s v="Human Resources"/>
    <x v="2"/>
    <s v="Married"/>
    <x v="131"/>
    <n v="8916"/>
    <n v="1"/>
    <s v="Y"/>
    <s v="No"/>
    <n v="23"/>
    <n v="4"/>
    <n v="4"/>
    <n v="80"/>
    <n v="1"/>
    <n v="8"/>
    <n v="3"/>
    <n v="3"/>
    <n v="8"/>
    <n v="7"/>
    <n v="5"/>
    <n v="7"/>
    <s v="5+ yrs"/>
  </r>
  <r>
    <n v="36"/>
    <x v="1"/>
    <s v="Travel_Rarely"/>
    <n v="216"/>
    <x v="1"/>
    <n v="6"/>
    <n v="2"/>
    <s v="Medical"/>
    <n v="1"/>
    <n v="178"/>
    <n v="2"/>
    <s v="Male"/>
    <n v="84"/>
    <n v="3"/>
    <n v="2"/>
    <s v="Manufacturing Director"/>
    <x v="1"/>
    <s v="Divorced"/>
    <x v="132"/>
    <n v="2819"/>
    <n v="6"/>
    <s v="Y"/>
    <s v="No"/>
    <n v="20"/>
    <n v="4"/>
    <n v="4"/>
    <n v="80"/>
    <n v="2"/>
    <n v="7"/>
    <n v="0"/>
    <n v="3"/>
    <n v="3"/>
    <n v="2"/>
    <n v="0"/>
    <n v="1"/>
    <s v="3-5 yrs"/>
  </r>
  <r>
    <n v="51"/>
    <x v="0"/>
    <s v="Travel_Frequently"/>
    <n v="1150"/>
    <x v="1"/>
    <n v="8"/>
    <n v="4"/>
    <s v="Life Sciences"/>
    <n v="1"/>
    <n v="179"/>
    <n v="1"/>
    <s v="Male"/>
    <n v="53"/>
    <n v="1"/>
    <n v="3"/>
    <s v="Manufacturing Director"/>
    <x v="0"/>
    <s v="Single"/>
    <x v="133"/>
    <n v="25150"/>
    <n v="2"/>
    <s v="Y"/>
    <s v="No"/>
    <n v="15"/>
    <n v="3"/>
    <n v="4"/>
    <n v="80"/>
    <n v="0"/>
    <n v="18"/>
    <n v="2"/>
    <n v="3"/>
    <n v="4"/>
    <n v="2"/>
    <n v="0"/>
    <n v="3"/>
    <s v="3-5 yrs"/>
  </r>
  <r>
    <n v="39"/>
    <x v="1"/>
    <s v="Travel_Rarely"/>
    <n v="1329"/>
    <x v="0"/>
    <n v="4"/>
    <n v="4"/>
    <s v="Life Sciences"/>
    <n v="1"/>
    <n v="182"/>
    <n v="4"/>
    <s v="Female"/>
    <n v="47"/>
    <n v="2"/>
    <n v="2"/>
    <s v="Sales Executive"/>
    <x v="2"/>
    <s v="Married"/>
    <x v="134"/>
    <n v="14590"/>
    <n v="4"/>
    <s v="Y"/>
    <s v="No"/>
    <n v="14"/>
    <n v="3"/>
    <n v="3"/>
    <n v="80"/>
    <n v="1"/>
    <n v="17"/>
    <n v="1"/>
    <n v="4"/>
    <n v="15"/>
    <n v="11"/>
    <n v="5"/>
    <n v="9"/>
    <s v="5+ yrs"/>
  </r>
  <r>
    <n v="25"/>
    <x v="1"/>
    <s v="Travel_Rarely"/>
    <n v="959"/>
    <x v="0"/>
    <n v="28"/>
    <n v="3"/>
    <s v="Life Sciences"/>
    <n v="1"/>
    <n v="183"/>
    <n v="1"/>
    <s v="Male"/>
    <n v="41"/>
    <n v="2"/>
    <n v="2"/>
    <s v="Sales Executive"/>
    <x v="2"/>
    <s v="Married"/>
    <x v="135"/>
    <n v="24835"/>
    <n v="2"/>
    <s v="Y"/>
    <s v="No"/>
    <n v="18"/>
    <n v="3"/>
    <n v="4"/>
    <n v="80"/>
    <n v="0"/>
    <n v="6"/>
    <n v="3"/>
    <n v="3"/>
    <n v="2"/>
    <n v="2"/>
    <n v="2"/>
    <n v="2"/>
    <s v="0-2 yrs"/>
  </r>
  <r>
    <n v="30"/>
    <x v="1"/>
    <s v="Travel_Rarely"/>
    <n v="1240"/>
    <x v="2"/>
    <n v="9"/>
    <n v="3"/>
    <s v="Human Resources"/>
    <n v="1"/>
    <n v="184"/>
    <n v="3"/>
    <s v="Male"/>
    <n v="48"/>
    <n v="3"/>
    <n v="2"/>
    <s v="Human Resources"/>
    <x v="0"/>
    <s v="Married"/>
    <x v="136"/>
    <n v="13982"/>
    <n v="0"/>
    <s v="Y"/>
    <s v="Yes"/>
    <n v="19"/>
    <n v="3"/>
    <n v="4"/>
    <n v="80"/>
    <n v="0"/>
    <n v="12"/>
    <n v="2"/>
    <n v="1"/>
    <n v="11"/>
    <n v="9"/>
    <n v="4"/>
    <n v="7"/>
    <s v="5+ yrs"/>
  </r>
  <r>
    <n v="32"/>
    <x v="0"/>
    <s v="Travel_Rarely"/>
    <n v="1033"/>
    <x v="1"/>
    <n v="9"/>
    <n v="3"/>
    <s v="Medical"/>
    <n v="1"/>
    <n v="190"/>
    <n v="1"/>
    <s v="Female"/>
    <n v="41"/>
    <n v="3"/>
    <n v="1"/>
    <s v="Laboratory Technician"/>
    <x v="3"/>
    <s v="Single"/>
    <x v="137"/>
    <n v="10224"/>
    <n v="7"/>
    <s v="Y"/>
    <s v="No"/>
    <n v="22"/>
    <n v="4"/>
    <n v="1"/>
    <n v="80"/>
    <n v="0"/>
    <n v="10"/>
    <n v="2"/>
    <n v="4"/>
    <n v="5"/>
    <n v="4"/>
    <n v="0"/>
    <n v="4"/>
    <s v="3-5 yrs"/>
  </r>
  <r>
    <n v="45"/>
    <x v="1"/>
    <s v="Travel_Rarely"/>
    <n v="1316"/>
    <x v="1"/>
    <n v="29"/>
    <n v="3"/>
    <s v="Medical"/>
    <n v="1"/>
    <n v="192"/>
    <n v="3"/>
    <s v="Male"/>
    <n v="83"/>
    <n v="3"/>
    <n v="1"/>
    <s v="Research Scientist"/>
    <x v="0"/>
    <s v="Single"/>
    <x v="138"/>
    <n v="9752"/>
    <n v="5"/>
    <s v="Y"/>
    <s v="No"/>
    <n v="13"/>
    <n v="3"/>
    <n v="2"/>
    <n v="80"/>
    <n v="0"/>
    <n v="9"/>
    <n v="2"/>
    <n v="2"/>
    <n v="6"/>
    <n v="5"/>
    <n v="0"/>
    <n v="3"/>
    <s v="5+ yrs"/>
  </r>
  <r>
    <n v="38"/>
    <x v="1"/>
    <s v="Travel_Rarely"/>
    <n v="364"/>
    <x v="1"/>
    <n v="3"/>
    <n v="5"/>
    <s v="Technical Degree"/>
    <n v="1"/>
    <n v="193"/>
    <n v="4"/>
    <s v="Female"/>
    <n v="32"/>
    <n v="3"/>
    <n v="2"/>
    <s v="Research Scientist"/>
    <x v="2"/>
    <s v="Single"/>
    <x v="139"/>
    <n v="2302"/>
    <n v="3"/>
    <s v="Y"/>
    <s v="Yes"/>
    <n v="20"/>
    <n v="4"/>
    <n v="2"/>
    <n v="80"/>
    <n v="0"/>
    <n v="19"/>
    <n v="2"/>
    <n v="3"/>
    <n v="3"/>
    <n v="2"/>
    <n v="2"/>
    <n v="2"/>
    <s v="3-5 yrs"/>
  </r>
  <r>
    <n v="30"/>
    <x v="1"/>
    <s v="Travel_Rarely"/>
    <n v="438"/>
    <x v="1"/>
    <n v="18"/>
    <n v="3"/>
    <s v="Life Sciences"/>
    <n v="1"/>
    <n v="194"/>
    <n v="1"/>
    <s v="Female"/>
    <n v="75"/>
    <n v="3"/>
    <n v="1"/>
    <s v="Research Scientist"/>
    <x v="2"/>
    <s v="Single"/>
    <x v="140"/>
    <n v="23910"/>
    <n v="1"/>
    <s v="Y"/>
    <s v="No"/>
    <n v="14"/>
    <n v="3"/>
    <n v="3"/>
    <n v="80"/>
    <n v="0"/>
    <n v="5"/>
    <n v="4"/>
    <n v="2"/>
    <n v="5"/>
    <n v="4"/>
    <n v="0"/>
    <n v="4"/>
    <s v="3-5 yrs"/>
  </r>
  <r>
    <n v="32"/>
    <x v="1"/>
    <s v="Travel_Frequently"/>
    <n v="689"/>
    <x v="0"/>
    <n v="9"/>
    <n v="2"/>
    <s v="Medical"/>
    <n v="1"/>
    <n v="195"/>
    <n v="4"/>
    <s v="Male"/>
    <n v="35"/>
    <n v="1"/>
    <n v="2"/>
    <s v="Sales Executive"/>
    <x v="0"/>
    <s v="Divorced"/>
    <x v="141"/>
    <n v="22812"/>
    <n v="0"/>
    <s v="Y"/>
    <s v="No"/>
    <n v="17"/>
    <n v="3"/>
    <n v="4"/>
    <n v="80"/>
    <n v="3"/>
    <n v="9"/>
    <n v="2"/>
    <n v="4"/>
    <n v="8"/>
    <n v="7"/>
    <n v="0"/>
    <n v="7"/>
    <s v="5+ yrs"/>
  </r>
  <r>
    <n v="30"/>
    <x v="1"/>
    <s v="Travel_Rarely"/>
    <n v="201"/>
    <x v="1"/>
    <n v="5"/>
    <n v="3"/>
    <s v="Technical Degree"/>
    <n v="1"/>
    <n v="197"/>
    <n v="4"/>
    <s v="Female"/>
    <n v="84"/>
    <n v="3"/>
    <n v="1"/>
    <s v="Research Scientist"/>
    <x v="3"/>
    <s v="Divorced"/>
    <x v="142"/>
    <n v="10415"/>
    <n v="5"/>
    <s v="Y"/>
    <s v="No"/>
    <n v="14"/>
    <n v="3"/>
    <n v="4"/>
    <n v="80"/>
    <n v="1"/>
    <n v="8"/>
    <n v="3"/>
    <n v="3"/>
    <n v="3"/>
    <n v="2"/>
    <n v="2"/>
    <n v="2"/>
    <s v="3-5 yrs"/>
  </r>
  <r>
    <n v="30"/>
    <x v="1"/>
    <s v="Travel_Rarely"/>
    <n v="1427"/>
    <x v="1"/>
    <n v="2"/>
    <n v="1"/>
    <s v="Medical"/>
    <n v="1"/>
    <n v="198"/>
    <n v="2"/>
    <s v="Male"/>
    <n v="35"/>
    <n v="2"/>
    <n v="1"/>
    <s v="Laboratory Technician"/>
    <x v="0"/>
    <s v="Single"/>
    <x v="143"/>
    <n v="11162"/>
    <n v="0"/>
    <s v="Y"/>
    <s v="No"/>
    <n v="13"/>
    <n v="3"/>
    <n v="4"/>
    <n v="80"/>
    <n v="0"/>
    <n v="6"/>
    <n v="3"/>
    <n v="3"/>
    <n v="5"/>
    <n v="3"/>
    <n v="1"/>
    <n v="2"/>
    <s v="3-5 yrs"/>
  </r>
  <r>
    <n v="41"/>
    <x v="1"/>
    <s v="Travel_Frequently"/>
    <n v="857"/>
    <x v="1"/>
    <n v="10"/>
    <n v="3"/>
    <s v="Life Sciences"/>
    <n v="1"/>
    <n v="199"/>
    <n v="4"/>
    <s v="Male"/>
    <n v="91"/>
    <n v="2"/>
    <n v="4"/>
    <s v="Manager"/>
    <x v="3"/>
    <s v="Divorced"/>
    <x v="144"/>
    <n v="12888"/>
    <n v="4"/>
    <s v="Y"/>
    <s v="No"/>
    <n v="13"/>
    <n v="3"/>
    <n v="2"/>
    <n v="80"/>
    <n v="1"/>
    <n v="21"/>
    <n v="2"/>
    <n v="2"/>
    <n v="7"/>
    <n v="6"/>
    <n v="7"/>
    <n v="7"/>
    <s v="5+ yrs"/>
  </r>
  <r>
    <n v="41"/>
    <x v="1"/>
    <s v="Travel_Rarely"/>
    <n v="933"/>
    <x v="1"/>
    <n v="9"/>
    <n v="4"/>
    <s v="Life Sciences"/>
    <n v="1"/>
    <n v="200"/>
    <n v="3"/>
    <s v="Male"/>
    <n v="94"/>
    <n v="3"/>
    <n v="1"/>
    <s v="Laboratory Technician"/>
    <x v="3"/>
    <s v="Married"/>
    <x v="145"/>
    <n v="6961"/>
    <n v="2"/>
    <s v="Y"/>
    <s v="No"/>
    <n v="21"/>
    <n v="4"/>
    <n v="4"/>
    <n v="80"/>
    <n v="1"/>
    <n v="7"/>
    <n v="2"/>
    <n v="3"/>
    <n v="5"/>
    <n v="0"/>
    <n v="1"/>
    <n v="4"/>
    <s v="3-5 yrs"/>
  </r>
  <r>
    <n v="19"/>
    <x v="1"/>
    <s v="Travel_Rarely"/>
    <n v="1181"/>
    <x v="1"/>
    <n v="3"/>
    <n v="1"/>
    <s v="Medical"/>
    <n v="1"/>
    <n v="201"/>
    <n v="2"/>
    <s v="Female"/>
    <n v="79"/>
    <n v="3"/>
    <n v="1"/>
    <s v="Laboratory Technician"/>
    <x v="1"/>
    <s v="Single"/>
    <x v="146"/>
    <n v="16102"/>
    <n v="1"/>
    <s v="Y"/>
    <s v="No"/>
    <n v="14"/>
    <n v="3"/>
    <n v="4"/>
    <n v="80"/>
    <n v="0"/>
    <n v="1"/>
    <n v="3"/>
    <n v="3"/>
    <n v="1"/>
    <n v="0"/>
    <n v="0"/>
    <n v="0"/>
    <s v="0-2 yrs"/>
  </r>
  <r>
    <n v="40"/>
    <x v="1"/>
    <s v="Travel_Frequently"/>
    <n v="1395"/>
    <x v="1"/>
    <n v="26"/>
    <n v="3"/>
    <s v="Medical"/>
    <n v="1"/>
    <n v="202"/>
    <n v="2"/>
    <s v="Female"/>
    <n v="54"/>
    <n v="3"/>
    <n v="2"/>
    <s v="Research Scientist"/>
    <x v="1"/>
    <s v="Divorced"/>
    <x v="147"/>
    <n v="8504"/>
    <n v="1"/>
    <s v="Y"/>
    <s v="No"/>
    <n v="11"/>
    <n v="3"/>
    <n v="1"/>
    <n v="80"/>
    <n v="1"/>
    <n v="20"/>
    <n v="2"/>
    <n v="3"/>
    <n v="20"/>
    <n v="7"/>
    <n v="2"/>
    <n v="13"/>
    <s v="5+ yrs"/>
  </r>
  <r>
    <n v="35"/>
    <x v="1"/>
    <s v="Travel_Rarely"/>
    <n v="662"/>
    <x v="0"/>
    <n v="1"/>
    <n v="5"/>
    <s v="Marketing"/>
    <n v="1"/>
    <n v="204"/>
    <n v="3"/>
    <s v="Male"/>
    <n v="94"/>
    <n v="3"/>
    <n v="3"/>
    <s v="Sales Executive"/>
    <x v="1"/>
    <s v="Married"/>
    <x v="148"/>
    <n v="11439"/>
    <n v="1"/>
    <s v="Y"/>
    <s v="No"/>
    <n v="13"/>
    <n v="3"/>
    <n v="1"/>
    <n v="80"/>
    <n v="2"/>
    <n v="10"/>
    <n v="3"/>
    <n v="3"/>
    <n v="10"/>
    <n v="8"/>
    <n v="0"/>
    <n v="6"/>
    <s v="5+ yrs"/>
  </r>
  <r>
    <n v="53"/>
    <x v="1"/>
    <s v="Travel_Rarely"/>
    <n v="1436"/>
    <x v="0"/>
    <n v="6"/>
    <n v="2"/>
    <s v="Marketing"/>
    <n v="1"/>
    <n v="205"/>
    <n v="2"/>
    <s v="Male"/>
    <n v="34"/>
    <n v="3"/>
    <n v="2"/>
    <s v="Sales Representative"/>
    <x v="2"/>
    <s v="Married"/>
    <x v="149"/>
    <n v="16047"/>
    <n v="2"/>
    <s v="Y"/>
    <s v="Yes"/>
    <n v="20"/>
    <n v="4"/>
    <n v="4"/>
    <n v="80"/>
    <n v="1"/>
    <n v="13"/>
    <n v="3"/>
    <n v="1"/>
    <n v="7"/>
    <n v="7"/>
    <n v="4"/>
    <n v="5"/>
    <s v="5+ yrs"/>
  </r>
  <r>
    <n v="45"/>
    <x v="1"/>
    <s v="Travel_Rarely"/>
    <n v="194"/>
    <x v="1"/>
    <n v="9"/>
    <n v="3"/>
    <s v="Life Sciences"/>
    <n v="1"/>
    <n v="206"/>
    <n v="2"/>
    <s v="Male"/>
    <n v="60"/>
    <n v="3"/>
    <n v="2"/>
    <s v="Laboratory Technician"/>
    <x v="1"/>
    <s v="Divorced"/>
    <x v="150"/>
    <n v="10901"/>
    <n v="8"/>
    <s v="Y"/>
    <s v="No"/>
    <n v="18"/>
    <n v="3"/>
    <n v="3"/>
    <n v="80"/>
    <n v="1"/>
    <n v="20"/>
    <n v="2"/>
    <n v="1"/>
    <n v="17"/>
    <n v="9"/>
    <n v="0"/>
    <n v="15"/>
    <s v="5+ yrs"/>
  </r>
  <r>
    <n v="32"/>
    <x v="1"/>
    <s v="Travel_Frequently"/>
    <n v="967"/>
    <x v="0"/>
    <n v="8"/>
    <n v="3"/>
    <s v="Marketing"/>
    <n v="1"/>
    <n v="207"/>
    <n v="2"/>
    <s v="Female"/>
    <n v="43"/>
    <n v="3"/>
    <n v="3"/>
    <s v="Sales Executive"/>
    <x v="0"/>
    <s v="Single"/>
    <x v="151"/>
    <n v="15589"/>
    <n v="1"/>
    <s v="Y"/>
    <s v="No"/>
    <n v="14"/>
    <n v="3"/>
    <n v="4"/>
    <n v="80"/>
    <n v="0"/>
    <n v="9"/>
    <n v="2"/>
    <n v="3"/>
    <n v="9"/>
    <n v="8"/>
    <n v="3"/>
    <n v="7"/>
    <s v="5+ yrs"/>
  </r>
  <r>
    <n v="29"/>
    <x v="1"/>
    <s v="Non-Travel"/>
    <n v="1496"/>
    <x v="1"/>
    <n v="1"/>
    <n v="1"/>
    <s v="Technical Degree"/>
    <n v="1"/>
    <n v="208"/>
    <n v="4"/>
    <s v="Male"/>
    <n v="41"/>
    <n v="3"/>
    <n v="2"/>
    <s v="Manufacturing Director"/>
    <x v="2"/>
    <s v="Married"/>
    <x v="152"/>
    <n v="26283"/>
    <n v="1"/>
    <s v="Y"/>
    <s v="No"/>
    <n v="13"/>
    <n v="3"/>
    <n v="1"/>
    <n v="80"/>
    <n v="1"/>
    <n v="10"/>
    <n v="1"/>
    <n v="3"/>
    <n v="10"/>
    <n v="7"/>
    <n v="0"/>
    <n v="9"/>
    <s v="5+ yrs"/>
  </r>
  <r>
    <n v="51"/>
    <x v="1"/>
    <s v="Travel_Rarely"/>
    <n v="1169"/>
    <x v="1"/>
    <n v="7"/>
    <n v="4"/>
    <s v="Medical"/>
    <n v="1"/>
    <n v="211"/>
    <n v="2"/>
    <s v="Male"/>
    <n v="34"/>
    <n v="2"/>
    <n v="2"/>
    <s v="Manufacturing Director"/>
    <x v="2"/>
    <s v="Married"/>
    <x v="153"/>
    <n v="13983"/>
    <n v="2"/>
    <s v="Y"/>
    <s v="No"/>
    <n v="17"/>
    <n v="3"/>
    <n v="3"/>
    <n v="80"/>
    <n v="0"/>
    <n v="10"/>
    <n v="2"/>
    <n v="3"/>
    <n v="1"/>
    <n v="0"/>
    <n v="0"/>
    <n v="0"/>
    <s v="0-2 yrs"/>
  </r>
  <r>
    <n v="58"/>
    <x v="1"/>
    <s v="Travel_Rarely"/>
    <n v="1145"/>
    <x v="1"/>
    <n v="9"/>
    <n v="3"/>
    <s v="Medical"/>
    <n v="1"/>
    <n v="214"/>
    <n v="2"/>
    <s v="Female"/>
    <n v="75"/>
    <n v="2"/>
    <n v="1"/>
    <s v="Research Scientist"/>
    <x v="1"/>
    <s v="Married"/>
    <x v="154"/>
    <n v="11873"/>
    <n v="4"/>
    <s v="Y"/>
    <s v="Yes"/>
    <n v="20"/>
    <n v="4"/>
    <n v="2"/>
    <n v="80"/>
    <n v="1"/>
    <n v="9"/>
    <n v="3"/>
    <n v="2"/>
    <n v="1"/>
    <n v="0"/>
    <n v="0"/>
    <n v="0"/>
    <s v="0-2 yrs"/>
  </r>
  <r>
    <n v="40"/>
    <x v="1"/>
    <s v="Travel_Rarely"/>
    <n v="630"/>
    <x v="0"/>
    <n v="4"/>
    <n v="4"/>
    <s v="Marketing"/>
    <n v="1"/>
    <n v="215"/>
    <n v="3"/>
    <s v="Male"/>
    <n v="67"/>
    <n v="2"/>
    <n v="3"/>
    <s v="Sales Executive"/>
    <x v="0"/>
    <s v="Married"/>
    <x v="155"/>
    <n v="8552"/>
    <n v="7"/>
    <s v="Y"/>
    <s v="No"/>
    <n v="11"/>
    <n v="3"/>
    <n v="1"/>
    <n v="80"/>
    <n v="1"/>
    <n v="15"/>
    <n v="2"/>
    <n v="2"/>
    <n v="12"/>
    <n v="11"/>
    <n v="2"/>
    <n v="11"/>
    <s v="5+ yrs"/>
  </r>
  <r>
    <n v="34"/>
    <x v="1"/>
    <s v="Travel_Frequently"/>
    <n v="303"/>
    <x v="0"/>
    <n v="2"/>
    <n v="4"/>
    <s v="Marketing"/>
    <n v="1"/>
    <n v="216"/>
    <n v="3"/>
    <s v="Female"/>
    <n v="75"/>
    <n v="3"/>
    <n v="1"/>
    <s v="Sales Representative"/>
    <x v="2"/>
    <s v="Married"/>
    <x v="156"/>
    <n v="11314"/>
    <n v="6"/>
    <s v="Y"/>
    <s v="No"/>
    <n v="18"/>
    <n v="3"/>
    <n v="4"/>
    <n v="80"/>
    <n v="1"/>
    <n v="6"/>
    <n v="3"/>
    <n v="3"/>
    <n v="4"/>
    <n v="3"/>
    <n v="1"/>
    <n v="2"/>
    <s v="3-5 yrs"/>
  </r>
  <r>
    <n v="22"/>
    <x v="1"/>
    <s v="Travel_Rarely"/>
    <n v="1256"/>
    <x v="1"/>
    <n v="19"/>
    <n v="1"/>
    <s v="Medical"/>
    <n v="1"/>
    <n v="217"/>
    <n v="3"/>
    <s v="Male"/>
    <n v="80"/>
    <n v="3"/>
    <n v="1"/>
    <s v="Research Scientist"/>
    <x v="0"/>
    <s v="Married"/>
    <x v="157"/>
    <n v="11992"/>
    <n v="1"/>
    <s v="Y"/>
    <s v="No"/>
    <n v="24"/>
    <n v="4"/>
    <n v="1"/>
    <n v="80"/>
    <n v="2"/>
    <n v="2"/>
    <n v="6"/>
    <n v="3"/>
    <n v="2"/>
    <n v="2"/>
    <n v="2"/>
    <n v="2"/>
    <s v="0-2 yrs"/>
  </r>
  <r>
    <n v="27"/>
    <x v="1"/>
    <s v="Non-Travel"/>
    <n v="691"/>
    <x v="1"/>
    <n v="9"/>
    <n v="3"/>
    <s v="Medical"/>
    <n v="1"/>
    <n v="218"/>
    <n v="4"/>
    <s v="Male"/>
    <n v="57"/>
    <n v="3"/>
    <n v="1"/>
    <s v="Research Scientist"/>
    <x v="1"/>
    <s v="Divorced"/>
    <x v="158"/>
    <n v="5970"/>
    <n v="6"/>
    <s v="Y"/>
    <s v="No"/>
    <n v="18"/>
    <n v="3"/>
    <n v="4"/>
    <n v="80"/>
    <n v="1"/>
    <n v="6"/>
    <n v="1"/>
    <n v="1"/>
    <n v="2"/>
    <n v="2"/>
    <n v="2"/>
    <n v="2"/>
    <s v="0-2 yrs"/>
  </r>
  <r>
    <n v="28"/>
    <x v="1"/>
    <s v="Travel_Rarely"/>
    <n v="440"/>
    <x v="1"/>
    <n v="21"/>
    <n v="3"/>
    <s v="Medical"/>
    <n v="1"/>
    <n v="221"/>
    <n v="3"/>
    <s v="Male"/>
    <n v="42"/>
    <n v="3"/>
    <n v="1"/>
    <s v="Research Scientist"/>
    <x v="0"/>
    <s v="Married"/>
    <x v="159"/>
    <n v="6672"/>
    <n v="1"/>
    <s v="Y"/>
    <s v="No"/>
    <n v="11"/>
    <n v="3"/>
    <n v="3"/>
    <n v="80"/>
    <n v="1"/>
    <n v="5"/>
    <n v="2"/>
    <n v="1"/>
    <n v="5"/>
    <n v="2"/>
    <n v="0"/>
    <n v="2"/>
    <s v="3-5 yrs"/>
  </r>
  <r>
    <n v="57"/>
    <x v="1"/>
    <s v="Travel_Rarely"/>
    <n v="334"/>
    <x v="1"/>
    <n v="24"/>
    <n v="2"/>
    <s v="Life Sciences"/>
    <n v="1"/>
    <n v="223"/>
    <n v="3"/>
    <s v="Male"/>
    <n v="83"/>
    <n v="4"/>
    <n v="3"/>
    <s v="Healthcare Representative"/>
    <x v="0"/>
    <s v="Divorced"/>
    <x v="160"/>
    <n v="23402"/>
    <n v="3"/>
    <s v="Y"/>
    <s v="Yes"/>
    <n v="16"/>
    <n v="3"/>
    <n v="2"/>
    <n v="80"/>
    <n v="1"/>
    <n v="12"/>
    <n v="2"/>
    <n v="1"/>
    <n v="5"/>
    <n v="3"/>
    <n v="1"/>
    <n v="4"/>
    <s v="3-5 yrs"/>
  </r>
  <r>
    <n v="27"/>
    <x v="1"/>
    <s v="Non-Travel"/>
    <n v="1450"/>
    <x v="1"/>
    <n v="3"/>
    <n v="3"/>
    <s v="Medical"/>
    <n v="1"/>
    <n v="224"/>
    <n v="3"/>
    <s v="Male"/>
    <n v="79"/>
    <n v="2"/>
    <n v="1"/>
    <s v="Research Scientist"/>
    <x v="2"/>
    <s v="Divorced"/>
    <x v="161"/>
    <n v="25326"/>
    <n v="1"/>
    <s v="Y"/>
    <s v="Yes"/>
    <n v="15"/>
    <n v="3"/>
    <n v="4"/>
    <n v="80"/>
    <n v="1"/>
    <n v="1"/>
    <n v="2"/>
    <n v="2"/>
    <n v="1"/>
    <n v="1"/>
    <n v="0"/>
    <n v="1"/>
    <s v="0-2 yrs"/>
  </r>
  <r>
    <n v="50"/>
    <x v="1"/>
    <s v="Travel_Rarely"/>
    <n v="1452"/>
    <x v="1"/>
    <n v="11"/>
    <n v="3"/>
    <s v="Life Sciences"/>
    <n v="1"/>
    <n v="226"/>
    <n v="3"/>
    <s v="Female"/>
    <n v="53"/>
    <n v="3"/>
    <n v="5"/>
    <s v="Manager"/>
    <x v="1"/>
    <s v="Single"/>
    <x v="162"/>
    <n v="17053"/>
    <n v="3"/>
    <s v="Y"/>
    <s v="No"/>
    <n v="15"/>
    <n v="3"/>
    <n v="2"/>
    <n v="80"/>
    <n v="0"/>
    <n v="21"/>
    <n v="5"/>
    <n v="3"/>
    <n v="5"/>
    <n v="4"/>
    <n v="4"/>
    <n v="4"/>
    <s v="3-5 yrs"/>
  </r>
  <r>
    <n v="41"/>
    <x v="1"/>
    <s v="Travel_Rarely"/>
    <n v="465"/>
    <x v="1"/>
    <n v="14"/>
    <n v="3"/>
    <s v="Life Sciences"/>
    <n v="1"/>
    <n v="227"/>
    <n v="1"/>
    <s v="Male"/>
    <n v="56"/>
    <n v="3"/>
    <n v="1"/>
    <s v="Research Scientist"/>
    <x v="2"/>
    <s v="Divorced"/>
    <x v="163"/>
    <n v="4609"/>
    <n v="4"/>
    <s v="Y"/>
    <s v="No"/>
    <n v="12"/>
    <n v="3"/>
    <n v="1"/>
    <n v="80"/>
    <n v="1"/>
    <n v="13"/>
    <n v="2"/>
    <n v="3"/>
    <n v="9"/>
    <n v="8"/>
    <n v="1"/>
    <n v="8"/>
    <s v="5+ yrs"/>
  </r>
  <r>
    <n v="30"/>
    <x v="1"/>
    <s v="Travel_Rarely"/>
    <n v="1339"/>
    <x v="0"/>
    <n v="5"/>
    <n v="3"/>
    <s v="Life Sciences"/>
    <n v="1"/>
    <n v="228"/>
    <n v="2"/>
    <s v="Female"/>
    <n v="41"/>
    <n v="3"/>
    <n v="3"/>
    <s v="Sales Executive"/>
    <x v="0"/>
    <s v="Married"/>
    <x v="164"/>
    <n v="8053"/>
    <n v="2"/>
    <s v="Y"/>
    <s v="No"/>
    <n v="12"/>
    <n v="3"/>
    <n v="3"/>
    <n v="80"/>
    <n v="1"/>
    <n v="12"/>
    <n v="2"/>
    <n v="3"/>
    <n v="10"/>
    <n v="9"/>
    <n v="7"/>
    <n v="4"/>
    <s v="5+ yrs"/>
  </r>
  <r>
    <n v="38"/>
    <x v="1"/>
    <s v="Travel_Rarely"/>
    <n v="702"/>
    <x v="0"/>
    <n v="1"/>
    <n v="4"/>
    <s v="Life Sciences"/>
    <n v="1"/>
    <n v="230"/>
    <n v="1"/>
    <s v="Female"/>
    <n v="59"/>
    <n v="2"/>
    <n v="2"/>
    <s v="Sales Executive"/>
    <x v="0"/>
    <s v="Single"/>
    <x v="165"/>
    <n v="12930"/>
    <n v="4"/>
    <s v="Y"/>
    <s v="No"/>
    <n v="22"/>
    <n v="4"/>
    <n v="3"/>
    <n v="80"/>
    <n v="0"/>
    <n v="12"/>
    <n v="2"/>
    <n v="4"/>
    <n v="8"/>
    <n v="3"/>
    <n v="0"/>
    <n v="7"/>
    <s v="5+ yrs"/>
  </r>
  <r>
    <n v="32"/>
    <x v="1"/>
    <s v="Travel_Rarely"/>
    <n v="120"/>
    <x v="1"/>
    <n v="6"/>
    <n v="5"/>
    <s v="Life Sciences"/>
    <n v="1"/>
    <n v="231"/>
    <n v="3"/>
    <s v="Male"/>
    <n v="43"/>
    <n v="3"/>
    <n v="1"/>
    <s v="Research Scientist"/>
    <x v="2"/>
    <s v="Single"/>
    <x v="71"/>
    <n v="12430"/>
    <n v="3"/>
    <s v="Y"/>
    <s v="No"/>
    <n v="20"/>
    <n v="4"/>
    <n v="1"/>
    <n v="80"/>
    <n v="0"/>
    <n v="8"/>
    <n v="2"/>
    <n v="3"/>
    <n v="5"/>
    <n v="4"/>
    <n v="1"/>
    <n v="4"/>
    <s v="3-5 yrs"/>
  </r>
  <r>
    <n v="27"/>
    <x v="1"/>
    <s v="Travel_Rarely"/>
    <n v="1157"/>
    <x v="1"/>
    <n v="17"/>
    <n v="3"/>
    <s v="Technical Degree"/>
    <n v="1"/>
    <n v="233"/>
    <n v="3"/>
    <s v="Male"/>
    <n v="51"/>
    <n v="3"/>
    <n v="1"/>
    <s v="Research Scientist"/>
    <x v="1"/>
    <s v="Married"/>
    <x v="166"/>
    <n v="13364"/>
    <n v="0"/>
    <s v="Y"/>
    <s v="Yes"/>
    <n v="16"/>
    <n v="3"/>
    <n v="4"/>
    <n v="80"/>
    <n v="1"/>
    <n v="6"/>
    <n v="3"/>
    <n v="2"/>
    <n v="5"/>
    <n v="2"/>
    <n v="1"/>
    <n v="1"/>
    <s v="3-5 yrs"/>
  </r>
  <r>
    <n v="19"/>
    <x v="0"/>
    <s v="Travel_Frequently"/>
    <n v="602"/>
    <x v="0"/>
    <n v="1"/>
    <n v="1"/>
    <s v="Technical Degree"/>
    <n v="1"/>
    <n v="235"/>
    <n v="3"/>
    <s v="Female"/>
    <n v="100"/>
    <n v="1"/>
    <n v="1"/>
    <s v="Sales Representative"/>
    <x v="3"/>
    <s v="Single"/>
    <x v="167"/>
    <n v="20989"/>
    <n v="0"/>
    <s v="Y"/>
    <s v="No"/>
    <n v="21"/>
    <n v="4"/>
    <n v="1"/>
    <n v="80"/>
    <n v="0"/>
    <n v="1"/>
    <n v="5"/>
    <n v="4"/>
    <n v="0"/>
    <n v="0"/>
    <n v="0"/>
    <n v="0"/>
    <s v="0-2 yrs"/>
  </r>
  <r>
    <n v="36"/>
    <x v="1"/>
    <s v="Travel_Frequently"/>
    <n v="1480"/>
    <x v="1"/>
    <n v="3"/>
    <n v="2"/>
    <s v="Medical"/>
    <n v="1"/>
    <n v="238"/>
    <n v="4"/>
    <s v="Male"/>
    <n v="30"/>
    <n v="3"/>
    <n v="1"/>
    <s v="Laboratory Technician"/>
    <x v="1"/>
    <s v="Single"/>
    <x v="168"/>
    <n v="15062"/>
    <n v="4"/>
    <s v="Y"/>
    <s v="No"/>
    <n v="12"/>
    <n v="3"/>
    <n v="3"/>
    <n v="80"/>
    <n v="0"/>
    <n v="13"/>
    <n v="3"/>
    <n v="2"/>
    <n v="8"/>
    <n v="7"/>
    <n v="7"/>
    <n v="2"/>
    <s v="5+ yrs"/>
  </r>
  <r>
    <n v="30"/>
    <x v="1"/>
    <s v="Non-Travel"/>
    <n v="111"/>
    <x v="1"/>
    <n v="9"/>
    <n v="3"/>
    <s v="Medical"/>
    <n v="1"/>
    <n v="239"/>
    <n v="3"/>
    <s v="Male"/>
    <n v="66"/>
    <n v="3"/>
    <n v="2"/>
    <s v="Laboratory Technician"/>
    <x v="3"/>
    <s v="Divorced"/>
    <x v="169"/>
    <n v="11012"/>
    <n v="1"/>
    <s v="Y"/>
    <s v="No"/>
    <n v="11"/>
    <n v="3"/>
    <n v="3"/>
    <n v="80"/>
    <n v="2"/>
    <n v="12"/>
    <n v="4"/>
    <n v="3"/>
    <n v="12"/>
    <n v="9"/>
    <n v="6"/>
    <n v="10"/>
    <s v="5+ yrs"/>
  </r>
  <r>
    <n v="45"/>
    <x v="1"/>
    <s v="Travel_Rarely"/>
    <n v="1268"/>
    <x v="0"/>
    <n v="4"/>
    <n v="2"/>
    <s v="Life Sciences"/>
    <n v="1"/>
    <n v="240"/>
    <n v="3"/>
    <s v="Female"/>
    <n v="30"/>
    <n v="3"/>
    <n v="2"/>
    <s v="Sales Executive"/>
    <x v="3"/>
    <s v="Divorced"/>
    <x v="170"/>
    <n v="6319"/>
    <n v="4"/>
    <s v="Y"/>
    <s v="Yes"/>
    <n v="11"/>
    <n v="3"/>
    <n v="1"/>
    <n v="80"/>
    <n v="1"/>
    <n v="9"/>
    <n v="3"/>
    <n v="4"/>
    <n v="5"/>
    <n v="4"/>
    <n v="0"/>
    <n v="3"/>
    <s v="3-5 yrs"/>
  </r>
  <r>
    <n v="56"/>
    <x v="1"/>
    <s v="Travel_Rarely"/>
    <n v="713"/>
    <x v="1"/>
    <n v="8"/>
    <n v="3"/>
    <s v="Life Sciences"/>
    <n v="1"/>
    <n v="241"/>
    <n v="3"/>
    <s v="Female"/>
    <n v="67"/>
    <n v="3"/>
    <n v="1"/>
    <s v="Research Scientist"/>
    <x v="3"/>
    <s v="Divorced"/>
    <x v="171"/>
    <n v="13939"/>
    <n v="4"/>
    <s v="Y"/>
    <s v="Yes"/>
    <n v="18"/>
    <n v="3"/>
    <n v="3"/>
    <n v="80"/>
    <n v="1"/>
    <n v="19"/>
    <n v="3"/>
    <n v="3"/>
    <n v="2"/>
    <n v="2"/>
    <n v="2"/>
    <n v="2"/>
    <s v="0-2 yrs"/>
  </r>
  <r>
    <n v="33"/>
    <x v="1"/>
    <s v="Travel_Rarely"/>
    <n v="134"/>
    <x v="1"/>
    <n v="2"/>
    <n v="3"/>
    <s v="Life Sciences"/>
    <n v="1"/>
    <n v="242"/>
    <n v="3"/>
    <s v="Male"/>
    <n v="90"/>
    <n v="3"/>
    <n v="1"/>
    <s v="Research Scientist"/>
    <x v="0"/>
    <s v="Single"/>
    <x v="172"/>
    <n v="10515"/>
    <n v="0"/>
    <s v="Y"/>
    <s v="No"/>
    <n v="14"/>
    <n v="3"/>
    <n v="1"/>
    <n v="80"/>
    <n v="0"/>
    <n v="4"/>
    <n v="2"/>
    <n v="4"/>
    <n v="3"/>
    <n v="1"/>
    <n v="0"/>
    <n v="2"/>
    <s v="3-5 yrs"/>
  </r>
  <r>
    <n v="19"/>
    <x v="0"/>
    <s v="Travel_Rarely"/>
    <n v="303"/>
    <x v="1"/>
    <n v="2"/>
    <n v="3"/>
    <s v="Life Sciences"/>
    <n v="1"/>
    <n v="243"/>
    <n v="2"/>
    <s v="Male"/>
    <n v="47"/>
    <n v="2"/>
    <n v="1"/>
    <s v="Laboratory Technician"/>
    <x v="0"/>
    <s v="Single"/>
    <x v="173"/>
    <n v="9241"/>
    <n v="1"/>
    <s v="Y"/>
    <s v="No"/>
    <n v="22"/>
    <n v="4"/>
    <n v="3"/>
    <n v="80"/>
    <n v="0"/>
    <n v="1"/>
    <n v="3"/>
    <n v="2"/>
    <n v="1"/>
    <n v="0"/>
    <n v="1"/>
    <n v="0"/>
    <s v="0-2 yrs"/>
  </r>
  <r>
    <n v="46"/>
    <x v="1"/>
    <s v="Travel_Rarely"/>
    <n v="526"/>
    <x v="0"/>
    <n v="1"/>
    <n v="2"/>
    <s v="Marketing"/>
    <n v="1"/>
    <n v="244"/>
    <n v="2"/>
    <s v="Female"/>
    <n v="92"/>
    <n v="3"/>
    <n v="3"/>
    <s v="Sales Executive"/>
    <x v="3"/>
    <s v="Divorced"/>
    <x v="174"/>
    <n v="2137"/>
    <n v="1"/>
    <s v="Y"/>
    <s v="No"/>
    <n v="25"/>
    <n v="4"/>
    <n v="3"/>
    <n v="80"/>
    <n v="3"/>
    <n v="24"/>
    <n v="2"/>
    <n v="3"/>
    <n v="24"/>
    <n v="13"/>
    <n v="15"/>
    <n v="7"/>
    <s v="5+ yrs"/>
  </r>
  <r>
    <n v="38"/>
    <x v="1"/>
    <s v="Travel_Rarely"/>
    <n v="1380"/>
    <x v="1"/>
    <n v="9"/>
    <n v="2"/>
    <s v="Life Sciences"/>
    <n v="1"/>
    <n v="245"/>
    <n v="3"/>
    <s v="Female"/>
    <n v="75"/>
    <n v="3"/>
    <n v="1"/>
    <s v="Laboratory Technician"/>
    <x v="0"/>
    <s v="Single"/>
    <x v="175"/>
    <n v="6319"/>
    <n v="1"/>
    <s v="Y"/>
    <s v="No"/>
    <n v="12"/>
    <n v="3"/>
    <n v="3"/>
    <n v="80"/>
    <n v="0"/>
    <n v="2"/>
    <n v="3"/>
    <n v="3"/>
    <n v="2"/>
    <n v="2"/>
    <n v="2"/>
    <n v="1"/>
    <s v="0-2 yrs"/>
  </r>
  <r>
    <n v="31"/>
    <x v="1"/>
    <s v="Travel_Rarely"/>
    <n v="140"/>
    <x v="1"/>
    <n v="12"/>
    <n v="1"/>
    <s v="Medical"/>
    <n v="1"/>
    <n v="246"/>
    <n v="3"/>
    <s v="Female"/>
    <n v="95"/>
    <n v="3"/>
    <n v="1"/>
    <s v="Research Scientist"/>
    <x v="0"/>
    <s v="Married"/>
    <x v="176"/>
    <n v="6984"/>
    <n v="8"/>
    <s v="Y"/>
    <s v="Yes"/>
    <n v="23"/>
    <n v="4"/>
    <n v="3"/>
    <n v="80"/>
    <n v="1"/>
    <n v="7"/>
    <n v="0"/>
    <n v="3"/>
    <n v="4"/>
    <n v="2"/>
    <n v="0"/>
    <n v="2"/>
    <s v="3-5 yrs"/>
  </r>
  <r>
    <n v="34"/>
    <x v="1"/>
    <s v="Travel_Rarely"/>
    <n v="629"/>
    <x v="1"/>
    <n v="27"/>
    <n v="2"/>
    <s v="Medical"/>
    <n v="1"/>
    <n v="247"/>
    <n v="4"/>
    <s v="Female"/>
    <n v="95"/>
    <n v="3"/>
    <n v="1"/>
    <s v="Research Scientist"/>
    <x v="1"/>
    <s v="Single"/>
    <x v="177"/>
    <n v="5711"/>
    <n v="2"/>
    <s v="Y"/>
    <s v="No"/>
    <n v="15"/>
    <n v="3"/>
    <n v="4"/>
    <n v="80"/>
    <n v="0"/>
    <n v="9"/>
    <n v="3"/>
    <n v="3"/>
    <n v="3"/>
    <n v="2"/>
    <n v="1"/>
    <n v="2"/>
    <s v="3-5 yrs"/>
  </r>
  <r>
    <n v="41"/>
    <x v="0"/>
    <s v="Travel_Rarely"/>
    <n v="1356"/>
    <x v="0"/>
    <n v="20"/>
    <n v="2"/>
    <s v="Marketing"/>
    <n v="1"/>
    <n v="248"/>
    <n v="2"/>
    <s v="Female"/>
    <n v="70"/>
    <n v="3"/>
    <n v="1"/>
    <s v="Sales Representative"/>
    <x v="1"/>
    <s v="Single"/>
    <x v="178"/>
    <n v="21728"/>
    <n v="1"/>
    <s v="Y"/>
    <s v="Yes"/>
    <n v="22"/>
    <n v="4"/>
    <n v="4"/>
    <n v="80"/>
    <n v="0"/>
    <n v="4"/>
    <n v="5"/>
    <n v="2"/>
    <n v="4"/>
    <n v="3"/>
    <n v="0"/>
    <n v="2"/>
    <s v="3-5 yrs"/>
  </r>
  <r>
    <n v="50"/>
    <x v="1"/>
    <s v="Travel_Rarely"/>
    <n v="328"/>
    <x v="1"/>
    <n v="1"/>
    <n v="3"/>
    <s v="Medical"/>
    <n v="1"/>
    <n v="249"/>
    <n v="3"/>
    <s v="Male"/>
    <n v="86"/>
    <n v="2"/>
    <n v="1"/>
    <s v="Laboratory Technician"/>
    <x v="2"/>
    <s v="Married"/>
    <x v="179"/>
    <n v="3425"/>
    <n v="2"/>
    <s v="Y"/>
    <s v="No"/>
    <n v="15"/>
    <n v="3"/>
    <n v="4"/>
    <n v="80"/>
    <n v="1"/>
    <n v="5"/>
    <n v="2"/>
    <n v="2"/>
    <n v="3"/>
    <n v="2"/>
    <n v="0"/>
    <n v="2"/>
    <s v="3-5 yrs"/>
  </r>
  <r>
    <n v="53"/>
    <x v="1"/>
    <s v="Travel_Rarely"/>
    <n v="1084"/>
    <x v="1"/>
    <n v="13"/>
    <n v="2"/>
    <s v="Medical"/>
    <n v="1"/>
    <n v="250"/>
    <n v="4"/>
    <s v="Female"/>
    <n v="57"/>
    <n v="4"/>
    <n v="2"/>
    <s v="Manufacturing Director"/>
    <x v="3"/>
    <s v="Divorced"/>
    <x v="180"/>
    <n v="26250"/>
    <n v="1"/>
    <s v="Y"/>
    <s v="No"/>
    <n v="11"/>
    <n v="3"/>
    <n v="3"/>
    <n v="80"/>
    <n v="2"/>
    <n v="5"/>
    <n v="3"/>
    <n v="3"/>
    <n v="4"/>
    <n v="2"/>
    <n v="1"/>
    <n v="3"/>
    <s v="3-5 yrs"/>
  </r>
  <r>
    <n v="33"/>
    <x v="1"/>
    <s v="Travel_Rarely"/>
    <n v="931"/>
    <x v="1"/>
    <n v="14"/>
    <n v="3"/>
    <s v="Medical"/>
    <n v="1"/>
    <n v="252"/>
    <n v="4"/>
    <s v="Female"/>
    <n v="72"/>
    <n v="3"/>
    <n v="1"/>
    <s v="Research Scientist"/>
    <x v="1"/>
    <s v="Married"/>
    <x v="181"/>
    <n v="4673"/>
    <n v="1"/>
    <s v="Y"/>
    <s v="No"/>
    <n v="13"/>
    <n v="3"/>
    <n v="4"/>
    <n v="80"/>
    <n v="1"/>
    <n v="8"/>
    <n v="5"/>
    <n v="3"/>
    <n v="8"/>
    <n v="7"/>
    <n v="1"/>
    <n v="6"/>
    <s v="5+ yrs"/>
  </r>
  <r>
    <n v="40"/>
    <x v="1"/>
    <s v="Travel_Rarely"/>
    <n v="989"/>
    <x v="1"/>
    <n v="4"/>
    <n v="1"/>
    <s v="Medical"/>
    <n v="1"/>
    <n v="253"/>
    <n v="4"/>
    <s v="Female"/>
    <n v="46"/>
    <n v="3"/>
    <n v="5"/>
    <s v="Manager"/>
    <x v="2"/>
    <s v="Married"/>
    <x v="182"/>
    <n v="6499"/>
    <n v="1"/>
    <s v="Y"/>
    <s v="No"/>
    <n v="14"/>
    <n v="3"/>
    <n v="2"/>
    <n v="80"/>
    <n v="1"/>
    <n v="21"/>
    <n v="2"/>
    <n v="3"/>
    <n v="20"/>
    <n v="8"/>
    <n v="9"/>
    <n v="9"/>
    <s v="5+ yrs"/>
  </r>
  <r>
    <n v="55"/>
    <x v="1"/>
    <s v="Travel_Rarely"/>
    <n v="692"/>
    <x v="1"/>
    <n v="14"/>
    <n v="4"/>
    <s v="Medical"/>
    <n v="1"/>
    <n v="254"/>
    <n v="3"/>
    <s v="Male"/>
    <n v="61"/>
    <n v="4"/>
    <n v="5"/>
    <s v="Research Director"/>
    <x v="1"/>
    <s v="Single"/>
    <x v="183"/>
    <n v="13339"/>
    <n v="8"/>
    <s v="Y"/>
    <s v="No"/>
    <n v="11"/>
    <n v="3"/>
    <n v="4"/>
    <n v="80"/>
    <n v="0"/>
    <n v="36"/>
    <n v="3"/>
    <n v="3"/>
    <n v="24"/>
    <n v="15"/>
    <n v="2"/>
    <n v="15"/>
    <s v="5+ yrs"/>
  </r>
  <r>
    <n v="34"/>
    <x v="1"/>
    <s v="Travel_Frequently"/>
    <n v="1069"/>
    <x v="1"/>
    <n v="2"/>
    <n v="1"/>
    <s v="Life Sciences"/>
    <n v="1"/>
    <n v="256"/>
    <n v="4"/>
    <s v="Male"/>
    <n v="45"/>
    <n v="2"/>
    <n v="2"/>
    <s v="Manufacturing Director"/>
    <x v="2"/>
    <s v="Married"/>
    <x v="184"/>
    <n v="14074"/>
    <n v="1"/>
    <s v="Y"/>
    <s v="No"/>
    <n v="17"/>
    <n v="3"/>
    <n v="3"/>
    <n v="80"/>
    <n v="0"/>
    <n v="10"/>
    <n v="2"/>
    <n v="2"/>
    <n v="10"/>
    <n v="9"/>
    <n v="1"/>
    <n v="9"/>
    <s v="5+ yrs"/>
  </r>
  <r>
    <n v="51"/>
    <x v="1"/>
    <s v="Travel_Rarely"/>
    <n v="313"/>
    <x v="1"/>
    <n v="3"/>
    <n v="3"/>
    <s v="Medical"/>
    <n v="1"/>
    <n v="258"/>
    <n v="4"/>
    <s v="Female"/>
    <n v="98"/>
    <n v="3"/>
    <n v="4"/>
    <s v="Healthcare Representative"/>
    <x v="1"/>
    <s v="Single"/>
    <x v="185"/>
    <n v="7192"/>
    <n v="3"/>
    <s v="Y"/>
    <s v="No"/>
    <n v="18"/>
    <n v="3"/>
    <n v="3"/>
    <n v="80"/>
    <n v="0"/>
    <n v="21"/>
    <n v="6"/>
    <n v="3"/>
    <n v="7"/>
    <n v="7"/>
    <n v="1"/>
    <n v="0"/>
    <s v="5+ yrs"/>
  </r>
  <r>
    <n v="52"/>
    <x v="1"/>
    <s v="Travel_Rarely"/>
    <n v="699"/>
    <x v="1"/>
    <n v="1"/>
    <n v="4"/>
    <s v="Life Sciences"/>
    <n v="1"/>
    <n v="259"/>
    <n v="3"/>
    <s v="Male"/>
    <n v="65"/>
    <n v="2"/>
    <n v="5"/>
    <s v="Manager"/>
    <x v="2"/>
    <s v="Married"/>
    <x v="186"/>
    <n v="5678"/>
    <n v="0"/>
    <s v="Y"/>
    <s v="No"/>
    <n v="14"/>
    <n v="3"/>
    <n v="1"/>
    <n v="80"/>
    <n v="1"/>
    <n v="34"/>
    <n v="5"/>
    <n v="3"/>
    <n v="33"/>
    <n v="18"/>
    <n v="11"/>
    <n v="9"/>
    <s v="5+ yrs"/>
  </r>
  <r>
    <n v="27"/>
    <x v="1"/>
    <s v="Travel_Rarely"/>
    <n v="894"/>
    <x v="1"/>
    <n v="9"/>
    <n v="3"/>
    <s v="Medical"/>
    <n v="1"/>
    <n v="260"/>
    <n v="4"/>
    <s v="Female"/>
    <n v="99"/>
    <n v="3"/>
    <n v="1"/>
    <s v="Research Scientist"/>
    <x v="1"/>
    <s v="Single"/>
    <x v="187"/>
    <n v="11781"/>
    <n v="1"/>
    <s v="Y"/>
    <s v="No"/>
    <n v="16"/>
    <n v="3"/>
    <n v="4"/>
    <n v="80"/>
    <n v="0"/>
    <n v="7"/>
    <n v="2"/>
    <n v="2"/>
    <n v="7"/>
    <n v="7"/>
    <n v="0"/>
    <n v="3"/>
    <s v="5+ yrs"/>
  </r>
  <r>
    <n v="35"/>
    <x v="0"/>
    <s v="Travel_Rarely"/>
    <n v="556"/>
    <x v="1"/>
    <n v="23"/>
    <n v="2"/>
    <s v="Life Sciences"/>
    <n v="1"/>
    <n v="261"/>
    <n v="2"/>
    <s v="Male"/>
    <n v="50"/>
    <n v="2"/>
    <n v="2"/>
    <s v="Manufacturing Director"/>
    <x v="2"/>
    <s v="Married"/>
    <x v="188"/>
    <n v="15497"/>
    <n v="3"/>
    <s v="Y"/>
    <s v="Yes"/>
    <n v="13"/>
    <n v="3"/>
    <n v="1"/>
    <n v="80"/>
    <n v="0"/>
    <n v="8"/>
    <n v="1"/>
    <n v="3"/>
    <n v="1"/>
    <n v="0"/>
    <n v="0"/>
    <n v="1"/>
    <s v="0-2 yrs"/>
  </r>
  <r>
    <n v="43"/>
    <x v="1"/>
    <s v="Non-Travel"/>
    <n v="1344"/>
    <x v="1"/>
    <n v="7"/>
    <n v="3"/>
    <s v="Medical"/>
    <n v="1"/>
    <n v="262"/>
    <n v="4"/>
    <s v="Male"/>
    <n v="37"/>
    <n v="4"/>
    <n v="1"/>
    <s v="Research Scientist"/>
    <x v="0"/>
    <s v="Divorced"/>
    <x v="189"/>
    <n v="5228"/>
    <n v="4"/>
    <s v="Y"/>
    <s v="No"/>
    <n v="14"/>
    <n v="3"/>
    <n v="4"/>
    <n v="80"/>
    <n v="3"/>
    <n v="7"/>
    <n v="3"/>
    <n v="4"/>
    <n v="5"/>
    <n v="4"/>
    <n v="2"/>
    <n v="2"/>
    <s v="3-5 yrs"/>
  </r>
  <r>
    <n v="45"/>
    <x v="1"/>
    <s v="Non-Travel"/>
    <n v="1195"/>
    <x v="1"/>
    <n v="2"/>
    <n v="2"/>
    <s v="Medical"/>
    <n v="1"/>
    <n v="264"/>
    <n v="1"/>
    <s v="Male"/>
    <n v="65"/>
    <n v="2"/>
    <n v="4"/>
    <s v="Manager"/>
    <x v="0"/>
    <s v="Married"/>
    <x v="190"/>
    <n v="20462"/>
    <n v="9"/>
    <s v="Y"/>
    <s v="No"/>
    <n v="23"/>
    <n v="4"/>
    <n v="4"/>
    <n v="80"/>
    <n v="1"/>
    <n v="22"/>
    <n v="1"/>
    <n v="3"/>
    <n v="20"/>
    <n v="8"/>
    <n v="11"/>
    <n v="8"/>
    <s v="5+ yrs"/>
  </r>
  <r>
    <n v="37"/>
    <x v="1"/>
    <s v="Travel_Rarely"/>
    <n v="290"/>
    <x v="1"/>
    <n v="21"/>
    <n v="3"/>
    <s v="Life Sciences"/>
    <n v="1"/>
    <n v="267"/>
    <n v="2"/>
    <s v="Male"/>
    <n v="65"/>
    <n v="4"/>
    <n v="1"/>
    <s v="Research Scientist"/>
    <x v="3"/>
    <s v="Married"/>
    <x v="191"/>
    <n v="22977"/>
    <n v="1"/>
    <s v="Y"/>
    <s v="Yes"/>
    <n v="12"/>
    <n v="3"/>
    <n v="1"/>
    <n v="80"/>
    <n v="1"/>
    <n v="8"/>
    <n v="3"/>
    <n v="2"/>
    <n v="8"/>
    <n v="7"/>
    <n v="1"/>
    <n v="7"/>
    <s v="5+ yrs"/>
  </r>
  <r>
    <n v="35"/>
    <x v="1"/>
    <s v="Travel_Frequently"/>
    <n v="138"/>
    <x v="1"/>
    <n v="2"/>
    <n v="3"/>
    <s v="Medical"/>
    <n v="1"/>
    <n v="269"/>
    <n v="2"/>
    <s v="Female"/>
    <n v="37"/>
    <n v="3"/>
    <n v="2"/>
    <s v="Laboratory Technician"/>
    <x v="1"/>
    <s v="Single"/>
    <x v="192"/>
    <n v="15986"/>
    <n v="5"/>
    <s v="Y"/>
    <s v="No"/>
    <n v="11"/>
    <n v="3"/>
    <n v="4"/>
    <n v="80"/>
    <n v="0"/>
    <n v="10"/>
    <n v="5"/>
    <n v="3"/>
    <n v="6"/>
    <n v="2"/>
    <n v="1"/>
    <n v="2"/>
    <s v="5+ yrs"/>
  </r>
  <r>
    <n v="42"/>
    <x v="1"/>
    <s v="Non-Travel"/>
    <n v="926"/>
    <x v="1"/>
    <n v="21"/>
    <n v="2"/>
    <s v="Medical"/>
    <n v="1"/>
    <n v="270"/>
    <n v="3"/>
    <s v="Female"/>
    <n v="36"/>
    <n v="3"/>
    <n v="2"/>
    <s v="Manufacturing Director"/>
    <x v="2"/>
    <s v="Divorced"/>
    <x v="193"/>
    <n v="16439"/>
    <n v="2"/>
    <s v="Y"/>
    <s v="No"/>
    <n v="16"/>
    <n v="3"/>
    <n v="2"/>
    <n v="80"/>
    <n v="1"/>
    <n v="11"/>
    <n v="5"/>
    <n v="3"/>
    <n v="5"/>
    <n v="3"/>
    <n v="0"/>
    <n v="2"/>
    <s v="3-5 yrs"/>
  </r>
  <r>
    <n v="38"/>
    <x v="1"/>
    <s v="Travel_Rarely"/>
    <n v="1261"/>
    <x v="1"/>
    <n v="2"/>
    <n v="4"/>
    <s v="Life Sciences"/>
    <n v="1"/>
    <n v="271"/>
    <n v="4"/>
    <s v="Male"/>
    <n v="88"/>
    <n v="3"/>
    <n v="2"/>
    <s v="Manufacturing Director"/>
    <x v="2"/>
    <s v="Married"/>
    <x v="194"/>
    <n v="7259"/>
    <n v="9"/>
    <s v="Y"/>
    <s v="No"/>
    <n v="14"/>
    <n v="3"/>
    <n v="2"/>
    <n v="80"/>
    <n v="0"/>
    <n v="14"/>
    <n v="3"/>
    <n v="3"/>
    <n v="1"/>
    <n v="0"/>
    <n v="0"/>
    <n v="0"/>
    <s v="0-2 yrs"/>
  </r>
  <r>
    <n v="38"/>
    <x v="1"/>
    <s v="Travel_Rarely"/>
    <n v="1084"/>
    <x v="1"/>
    <n v="29"/>
    <n v="3"/>
    <s v="Technical Degree"/>
    <n v="1"/>
    <n v="273"/>
    <n v="4"/>
    <s v="Male"/>
    <n v="54"/>
    <n v="3"/>
    <n v="2"/>
    <s v="Manufacturing Director"/>
    <x v="0"/>
    <s v="Married"/>
    <x v="195"/>
    <n v="4185"/>
    <n v="3"/>
    <s v="Y"/>
    <s v="No"/>
    <n v="18"/>
    <n v="3"/>
    <n v="1"/>
    <n v="80"/>
    <n v="1"/>
    <n v="9"/>
    <n v="3"/>
    <n v="1"/>
    <n v="7"/>
    <n v="7"/>
    <n v="1"/>
    <n v="7"/>
    <s v="5+ yrs"/>
  </r>
  <r>
    <n v="27"/>
    <x v="1"/>
    <s v="Travel_Frequently"/>
    <n v="472"/>
    <x v="1"/>
    <n v="1"/>
    <n v="1"/>
    <s v="Technical Degree"/>
    <n v="1"/>
    <n v="274"/>
    <n v="3"/>
    <s v="Male"/>
    <n v="60"/>
    <n v="2"/>
    <n v="2"/>
    <s v="Manufacturing Director"/>
    <x v="3"/>
    <s v="Married"/>
    <x v="196"/>
    <n v="9679"/>
    <n v="5"/>
    <s v="Y"/>
    <s v="No"/>
    <n v="19"/>
    <n v="3"/>
    <n v="3"/>
    <n v="80"/>
    <n v="1"/>
    <n v="6"/>
    <n v="1"/>
    <n v="3"/>
    <n v="2"/>
    <n v="2"/>
    <n v="2"/>
    <n v="0"/>
    <s v="0-2 yrs"/>
  </r>
  <r>
    <n v="49"/>
    <x v="1"/>
    <s v="Non-Travel"/>
    <n v="1002"/>
    <x v="1"/>
    <n v="18"/>
    <n v="4"/>
    <s v="Life Sciences"/>
    <n v="1"/>
    <n v="275"/>
    <n v="4"/>
    <s v="Male"/>
    <n v="92"/>
    <n v="3"/>
    <n v="2"/>
    <s v="Manufacturing Director"/>
    <x v="0"/>
    <s v="Divorced"/>
    <x v="197"/>
    <n v="23793"/>
    <n v="1"/>
    <s v="Y"/>
    <s v="Yes"/>
    <n v="15"/>
    <n v="3"/>
    <n v="1"/>
    <n v="80"/>
    <n v="2"/>
    <n v="7"/>
    <n v="0"/>
    <n v="3"/>
    <n v="7"/>
    <n v="7"/>
    <n v="1"/>
    <n v="7"/>
    <s v="5+ yrs"/>
  </r>
  <r>
    <n v="34"/>
    <x v="1"/>
    <s v="Travel_Frequently"/>
    <n v="878"/>
    <x v="1"/>
    <n v="10"/>
    <n v="4"/>
    <s v="Medical"/>
    <n v="1"/>
    <n v="277"/>
    <n v="4"/>
    <s v="Male"/>
    <n v="43"/>
    <n v="3"/>
    <n v="1"/>
    <s v="Research Scientist"/>
    <x v="2"/>
    <s v="Divorced"/>
    <x v="198"/>
    <n v="5972"/>
    <n v="1"/>
    <s v="Y"/>
    <s v="Yes"/>
    <n v="17"/>
    <n v="3"/>
    <n v="4"/>
    <n v="80"/>
    <n v="1"/>
    <n v="5"/>
    <n v="4"/>
    <n v="4"/>
    <n v="5"/>
    <n v="3"/>
    <n v="2"/>
    <n v="0"/>
    <s v="3-5 yrs"/>
  </r>
  <r>
    <n v="40"/>
    <x v="1"/>
    <s v="Travel_Rarely"/>
    <n v="905"/>
    <x v="1"/>
    <n v="19"/>
    <n v="2"/>
    <s v="Medical"/>
    <n v="1"/>
    <n v="281"/>
    <n v="3"/>
    <s v="Male"/>
    <n v="99"/>
    <n v="3"/>
    <n v="2"/>
    <s v="Laboratory Technician"/>
    <x v="0"/>
    <s v="Married"/>
    <x v="199"/>
    <n v="16523"/>
    <n v="8"/>
    <s v="Y"/>
    <s v="Yes"/>
    <n v="15"/>
    <n v="3"/>
    <n v="3"/>
    <n v="80"/>
    <n v="1"/>
    <n v="15"/>
    <n v="2"/>
    <n v="4"/>
    <n v="7"/>
    <n v="2"/>
    <n v="3"/>
    <n v="7"/>
    <s v="5+ yrs"/>
  </r>
  <r>
    <n v="38"/>
    <x v="0"/>
    <s v="Travel_Rarely"/>
    <n v="1180"/>
    <x v="1"/>
    <n v="29"/>
    <n v="1"/>
    <s v="Medical"/>
    <n v="1"/>
    <n v="282"/>
    <n v="2"/>
    <s v="Male"/>
    <n v="70"/>
    <n v="3"/>
    <n v="2"/>
    <s v="Healthcare Representative"/>
    <x v="3"/>
    <s v="Married"/>
    <x v="200"/>
    <n v="11354"/>
    <n v="7"/>
    <s v="Y"/>
    <s v="Yes"/>
    <n v="19"/>
    <n v="3"/>
    <n v="2"/>
    <n v="80"/>
    <n v="0"/>
    <n v="17"/>
    <n v="2"/>
    <n v="3"/>
    <n v="1"/>
    <n v="0"/>
    <n v="0"/>
    <n v="0"/>
    <s v="0-2 yrs"/>
  </r>
  <r>
    <n v="29"/>
    <x v="0"/>
    <s v="Travel_Rarely"/>
    <n v="121"/>
    <x v="0"/>
    <n v="27"/>
    <n v="3"/>
    <s v="Marketing"/>
    <n v="1"/>
    <n v="283"/>
    <n v="2"/>
    <s v="Female"/>
    <n v="35"/>
    <n v="3"/>
    <n v="3"/>
    <s v="Sales Executive"/>
    <x v="0"/>
    <s v="Married"/>
    <x v="201"/>
    <n v="24525"/>
    <n v="1"/>
    <s v="Y"/>
    <s v="No"/>
    <n v="22"/>
    <n v="4"/>
    <n v="4"/>
    <n v="80"/>
    <n v="3"/>
    <n v="10"/>
    <n v="3"/>
    <n v="2"/>
    <n v="10"/>
    <n v="4"/>
    <n v="1"/>
    <n v="9"/>
    <s v="5+ yrs"/>
  </r>
  <r>
    <n v="22"/>
    <x v="1"/>
    <s v="Travel_Rarely"/>
    <n v="1136"/>
    <x v="1"/>
    <n v="5"/>
    <n v="3"/>
    <s v="Life Sciences"/>
    <n v="1"/>
    <n v="284"/>
    <n v="4"/>
    <s v="Male"/>
    <n v="60"/>
    <n v="4"/>
    <n v="1"/>
    <s v="Research Scientist"/>
    <x v="1"/>
    <s v="Divorced"/>
    <x v="202"/>
    <n v="12392"/>
    <n v="1"/>
    <s v="Y"/>
    <s v="Yes"/>
    <n v="16"/>
    <n v="3"/>
    <n v="1"/>
    <n v="80"/>
    <n v="1"/>
    <n v="4"/>
    <n v="2"/>
    <n v="2"/>
    <n v="4"/>
    <n v="2"/>
    <n v="2"/>
    <n v="2"/>
    <s v="3-5 yrs"/>
  </r>
  <r>
    <n v="36"/>
    <x v="1"/>
    <s v="Travel_Frequently"/>
    <n v="635"/>
    <x v="1"/>
    <n v="18"/>
    <n v="1"/>
    <s v="Medical"/>
    <n v="1"/>
    <n v="286"/>
    <n v="2"/>
    <s v="Female"/>
    <n v="73"/>
    <n v="3"/>
    <n v="1"/>
    <s v="Laboratory Technician"/>
    <x v="0"/>
    <s v="Single"/>
    <x v="203"/>
    <n v="7703"/>
    <n v="1"/>
    <s v="Y"/>
    <s v="No"/>
    <n v="13"/>
    <n v="3"/>
    <n v="1"/>
    <n v="80"/>
    <n v="0"/>
    <n v="8"/>
    <n v="2"/>
    <n v="3"/>
    <n v="8"/>
    <n v="1"/>
    <n v="1"/>
    <n v="7"/>
    <s v="5+ yrs"/>
  </r>
  <r>
    <n v="40"/>
    <x v="1"/>
    <s v="Non-Travel"/>
    <n v="1151"/>
    <x v="1"/>
    <n v="9"/>
    <n v="5"/>
    <s v="Life Sciences"/>
    <n v="1"/>
    <n v="287"/>
    <n v="4"/>
    <s v="Male"/>
    <n v="63"/>
    <n v="2"/>
    <n v="2"/>
    <s v="Healthcare Representative"/>
    <x v="0"/>
    <s v="Married"/>
    <x v="204"/>
    <n v="14242"/>
    <n v="9"/>
    <s v="Y"/>
    <s v="No"/>
    <n v="14"/>
    <n v="3"/>
    <n v="4"/>
    <n v="80"/>
    <n v="1"/>
    <n v="5"/>
    <n v="5"/>
    <n v="1"/>
    <n v="3"/>
    <n v="2"/>
    <n v="0"/>
    <n v="2"/>
    <s v="3-5 yrs"/>
  </r>
  <r>
    <n v="46"/>
    <x v="1"/>
    <s v="Travel_Rarely"/>
    <n v="644"/>
    <x v="1"/>
    <n v="1"/>
    <n v="4"/>
    <s v="Medical"/>
    <n v="1"/>
    <n v="288"/>
    <n v="4"/>
    <s v="Male"/>
    <n v="97"/>
    <n v="3"/>
    <n v="3"/>
    <s v="Healthcare Representative"/>
    <x v="3"/>
    <s v="Divorced"/>
    <x v="205"/>
    <n v="12368"/>
    <n v="7"/>
    <s v="Y"/>
    <s v="No"/>
    <n v="16"/>
    <n v="3"/>
    <n v="3"/>
    <n v="80"/>
    <n v="1"/>
    <n v="17"/>
    <n v="3"/>
    <n v="3"/>
    <n v="4"/>
    <n v="2"/>
    <n v="0"/>
    <n v="3"/>
    <s v="3-5 yrs"/>
  </r>
  <r>
    <n v="32"/>
    <x v="0"/>
    <s v="Travel_Rarely"/>
    <n v="1045"/>
    <x v="0"/>
    <n v="4"/>
    <n v="4"/>
    <s v="Medical"/>
    <n v="1"/>
    <n v="291"/>
    <n v="4"/>
    <s v="Male"/>
    <n v="32"/>
    <n v="1"/>
    <n v="3"/>
    <s v="Sales Executive"/>
    <x v="0"/>
    <s v="Married"/>
    <x v="206"/>
    <n v="25812"/>
    <n v="1"/>
    <s v="Y"/>
    <s v="No"/>
    <n v="11"/>
    <n v="3"/>
    <n v="3"/>
    <n v="80"/>
    <n v="0"/>
    <n v="14"/>
    <n v="2"/>
    <n v="2"/>
    <n v="14"/>
    <n v="8"/>
    <n v="9"/>
    <n v="8"/>
    <s v="5+ yrs"/>
  </r>
  <r>
    <n v="30"/>
    <x v="1"/>
    <s v="Non-Travel"/>
    <n v="829"/>
    <x v="1"/>
    <n v="1"/>
    <n v="1"/>
    <s v="Life Sciences"/>
    <n v="1"/>
    <n v="292"/>
    <n v="3"/>
    <s v="Male"/>
    <n v="88"/>
    <n v="2"/>
    <n v="3"/>
    <s v="Manufacturing Director"/>
    <x v="2"/>
    <s v="Single"/>
    <x v="207"/>
    <n v="20925"/>
    <n v="1"/>
    <s v="Y"/>
    <s v="No"/>
    <n v="22"/>
    <n v="4"/>
    <n v="3"/>
    <n v="80"/>
    <n v="0"/>
    <n v="12"/>
    <n v="2"/>
    <n v="3"/>
    <n v="11"/>
    <n v="8"/>
    <n v="5"/>
    <n v="8"/>
    <s v="5+ yrs"/>
  </r>
  <r>
    <n v="27"/>
    <x v="1"/>
    <s v="Travel_Frequently"/>
    <n v="1242"/>
    <x v="0"/>
    <n v="20"/>
    <n v="3"/>
    <s v="Life Sciences"/>
    <n v="1"/>
    <n v="293"/>
    <n v="4"/>
    <s v="Female"/>
    <n v="90"/>
    <n v="3"/>
    <n v="2"/>
    <s v="Sales Executive"/>
    <x v="2"/>
    <s v="Single"/>
    <x v="208"/>
    <n v="12916"/>
    <n v="1"/>
    <s v="Y"/>
    <s v="No"/>
    <n v="14"/>
    <n v="3"/>
    <n v="4"/>
    <n v="80"/>
    <n v="0"/>
    <n v="7"/>
    <n v="2"/>
    <n v="3"/>
    <n v="7"/>
    <n v="7"/>
    <n v="0"/>
    <n v="7"/>
    <s v="5+ yrs"/>
  </r>
  <r>
    <n v="51"/>
    <x v="1"/>
    <s v="Travel_Rarely"/>
    <n v="1469"/>
    <x v="1"/>
    <n v="8"/>
    <n v="4"/>
    <s v="Life Sciences"/>
    <n v="1"/>
    <n v="296"/>
    <n v="2"/>
    <s v="Male"/>
    <n v="81"/>
    <n v="2"/>
    <n v="3"/>
    <s v="Research Director"/>
    <x v="1"/>
    <s v="Married"/>
    <x v="209"/>
    <n v="15736"/>
    <n v="5"/>
    <s v="Y"/>
    <s v="No"/>
    <n v="16"/>
    <n v="3"/>
    <n v="4"/>
    <n v="80"/>
    <n v="2"/>
    <n v="16"/>
    <n v="5"/>
    <n v="1"/>
    <n v="10"/>
    <n v="9"/>
    <n v="4"/>
    <n v="7"/>
    <s v="5+ yrs"/>
  </r>
  <r>
    <n v="30"/>
    <x v="0"/>
    <s v="Travel_Rarely"/>
    <n v="1005"/>
    <x v="1"/>
    <n v="3"/>
    <n v="3"/>
    <s v="Technical Degree"/>
    <n v="1"/>
    <n v="297"/>
    <n v="4"/>
    <s v="Female"/>
    <n v="88"/>
    <n v="3"/>
    <n v="1"/>
    <s v="Research Scientist"/>
    <x v="3"/>
    <s v="Single"/>
    <x v="210"/>
    <n v="8556"/>
    <n v="5"/>
    <s v="Y"/>
    <s v="Yes"/>
    <n v="11"/>
    <n v="3"/>
    <n v="3"/>
    <n v="80"/>
    <n v="0"/>
    <n v="8"/>
    <n v="5"/>
    <n v="3"/>
    <n v="5"/>
    <n v="2"/>
    <n v="0"/>
    <n v="4"/>
    <s v="3-5 yrs"/>
  </r>
  <r>
    <n v="41"/>
    <x v="1"/>
    <s v="Travel_Rarely"/>
    <n v="896"/>
    <x v="0"/>
    <n v="6"/>
    <n v="3"/>
    <s v="Life Sciences"/>
    <n v="1"/>
    <n v="298"/>
    <n v="4"/>
    <s v="Female"/>
    <n v="75"/>
    <n v="3"/>
    <n v="3"/>
    <s v="Manager"/>
    <x v="0"/>
    <s v="Single"/>
    <x v="211"/>
    <n v="14674"/>
    <n v="3"/>
    <s v="Y"/>
    <s v="Yes"/>
    <n v="18"/>
    <n v="3"/>
    <n v="3"/>
    <n v="80"/>
    <n v="0"/>
    <n v="16"/>
    <n v="3"/>
    <n v="3"/>
    <n v="1"/>
    <n v="0"/>
    <n v="0"/>
    <n v="0"/>
    <s v="0-2 yrs"/>
  </r>
  <r>
    <n v="30"/>
    <x v="0"/>
    <s v="Travel_Frequently"/>
    <n v="334"/>
    <x v="0"/>
    <n v="26"/>
    <n v="4"/>
    <s v="Marketing"/>
    <n v="1"/>
    <n v="299"/>
    <n v="3"/>
    <s v="Female"/>
    <n v="52"/>
    <n v="2"/>
    <n v="2"/>
    <s v="Sales Executive"/>
    <x v="3"/>
    <s v="Single"/>
    <x v="212"/>
    <n v="22967"/>
    <n v="5"/>
    <s v="Y"/>
    <s v="No"/>
    <n v="15"/>
    <n v="3"/>
    <n v="3"/>
    <n v="80"/>
    <n v="0"/>
    <n v="9"/>
    <n v="5"/>
    <n v="2"/>
    <n v="6"/>
    <n v="3"/>
    <n v="0"/>
    <n v="1"/>
    <s v="5+ yrs"/>
  </r>
  <r>
    <n v="29"/>
    <x v="0"/>
    <s v="Travel_Rarely"/>
    <n v="992"/>
    <x v="1"/>
    <n v="1"/>
    <n v="3"/>
    <s v="Technical Degree"/>
    <n v="1"/>
    <n v="300"/>
    <n v="3"/>
    <s v="Male"/>
    <n v="85"/>
    <n v="3"/>
    <n v="1"/>
    <s v="Research Scientist"/>
    <x v="2"/>
    <s v="Single"/>
    <x v="213"/>
    <n v="19757"/>
    <n v="0"/>
    <s v="Y"/>
    <s v="No"/>
    <n v="14"/>
    <n v="3"/>
    <n v="4"/>
    <n v="80"/>
    <n v="0"/>
    <n v="7"/>
    <n v="1"/>
    <n v="2"/>
    <n v="6"/>
    <n v="2"/>
    <n v="1"/>
    <n v="5"/>
    <s v="5+ yrs"/>
  </r>
  <r>
    <n v="45"/>
    <x v="1"/>
    <s v="Non-Travel"/>
    <n v="1052"/>
    <x v="0"/>
    <n v="6"/>
    <n v="3"/>
    <s v="Medical"/>
    <n v="1"/>
    <n v="302"/>
    <n v="4"/>
    <s v="Female"/>
    <n v="57"/>
    <n v="2"/>
    <n v="3"/>
    <s v="Sales Executive"/>
    <x v="0"/>
    <s v="Single"/>
    <x v="214"/>
    <n v="16840"/>
    <n v="6"/>
    <s v="Y"/>
    <s v="No"/>
    <n v="12"/>
    <n v="3"/>
    <n v="4"/>
    <n v="80"/>
    <n v="0"/>
    <n v="23"/>
    <n v="2"/>
    <n v="3"/>
    <n v="19"/>
    <n v="7"/>
    <n v="12"/>
    <n v="8"/>
    <s v="5+ yrs"/>
  </r>
  <r>
    <n v="54"/>
    <x v="1"/>
    <s v="Travel_Rarely"/>
    <n v="1147"/>
    <x v="0"/>
    <n v="3"/>
    <n v="3"/>
    <s v="Marketing"/>
    <n v="1"/>
    <n v="303"/>
    <n v="4"/>
    <s v="Female"/>
    <n v="52"/>
    <n v="3"/>
    <n v="2"/>
    <s v="Sales Executive"/>
    <x v="3"/>
    <s v="Married"/>
    <x v="215"/>
    <n v="17011"/>
    <n v="2"/>
    <s v="Y"/>
    <s v="No"/>
    <n v="14"/>
    <n v="3"/>
    <n v="4"/>
    <n v="80"/>
    <n v="1"/>
    <n v="16"/>
    <n v="4"/>
    <n v="3"/>
    <n v="6"/>
    <n v="2"/>
    <n v="0"/>
    <n v="5"/>
    <s v="5+ yrs"/>
  </r>
  <r>
    <n v="36"/>
    <x v="1"/>
    <s v="Travel_Rarely"/>
    <n v="1396"/>
    <x v="1"/>
    <n v="5"/>
    <n v="2"/>
    <s v="Life Sciences"/>
    <n v="1"/>
    <n v="304"/>
    <n v="4"/>
    <s v="Male"/>
    <n v="62"/>
    <n v="3"/>
    <n v="2"/>
    <s v="Laboratory Technician"/>
    <x v="1"/>
    <s v="Single"/>
    <x v="216"/>
    <n v="9945"/>
    <n v="8"/>
    <s v="Y"/>
    <s v="No"/>
    <n v="16"/>
    <n v="3"/>
    <n v="4"/>
    <n v="80"/>
    <n v="0"/>
    <n v="16"/>
    <n v="3"/>
    <n v="4"/>
    <n v="13"/>
    <n v="11"/>
    <n v="3"/>
    <n v="7"/>
    <s v="5+ yrs"/>
  </r>
  <r>
    <n v="33"/>
    <x v="1"/>
    <s v="Travel_Rarely"/>
    <n v="147"/>
    <x v="1"/>
    <n v="4"/>
    <n v="4"/>
    <s v="Medical"/>
    <n v="1"/>
    <n v="305"/>
    <n v="3"/>
    <s v="Female"/>
    <n v="47"/>
    <n v="2"/>
    <n v="1"/>
    <s v="Research Scientist"/>
    <x v="1"/>
    <s v="Married"/>
    <x v="217"/>
    <n v="13248"/>
    <n v="6"/>
    <s v="Y"/>
    <s v="No"/>
    <n v="21"/>
    <n v="4"/>
    <n v="4"/>
    <n v="80"/>
    <n v="0"/>
    <n v="7"/>
    <n v="3"/>
    <n v="3"/>
    <n v="3"/>
    <n v="2"/>
    <n v="1"/>
    <n v="1"/>
    <s v="3-5 yrs"/>
  </r>
  <r>
    <n v="37"/>
    <x v="1"/>
    <s v="Travel_Frequently"/>
    <n v="663"/>
    <x v="1"/>
    <n v="11"/>
    <n v="3"/>
    <s v="Other"/>
    <n v="1"/>
    <n v="306"/>
    <n v="2"/>
    <s v="Male"/>
    <n v="47"/>
    <n v="3"/>
    <n v="3"/>
    <s v="Research Director"/>
    <x v="0"/>
    <s v="Divorced"/>
    <x v="218"/>
    <n v="10056"/>
    <n v="1"/>
    <s v="Y"/>
    <s v="Yes"/>
    <n v="14"/>
    <n v="3"/>
    <n v="3"/>
    <n v="80"/>
    <n v="3"/>
    <n v="10"/>
    <n v="1"/>
    <n v="3"/>
    <n v="10"/>
    <n v="8"/>
    <n v="0"/>
    <n v="7"/>
    <s v="5+ yrs"/>
  </r>
  <r>
    <n v="38"/>
    <x v="1"/>
    <s v="Travel_Rarely"/>
    <n v="119"/>
    <x v="0"/>
    <n v="3"/>
    <n v="3"/>
    <s v="Life Sciences"/>
    <n v="1"/>
    <n v="307"/>
    <n v="1"/>
    <s v="Male"/>
    <n v="76"/>
    <n v="3"/>
    <n v="3"/>
    <s v="Sales Executive"/>
    <x v="2"/>
    <s v="Divorced"/>
    <x v="219"/>
    <n v="9647"/>
    <n v="0"/>
    <s v="Y"/>
    <s v="No"/>
    <n v="12"/>
    <n v="3"/>
    <n v="3"/>
    <n v="80"/>
    <n v="2"/>
    <n v="17"/>
    <n v="6"/>
    <n v="2"/>
    <n v="16"/>
    <n v="10"/>
    <n v="5"/>
    <n v="13"/>
    <s v="5+ yrs"/>
  </r>
  <r>
    <n v="31"/>
    <x v="1"/>
    <s v="Non-Travel"/>
    <n v="979"/>
    <x v="1"/>
    <n v="1"/>
    <n v="4"/>
    <s v="Medical"/>
    <n v="1"/>
    <n v="308"/>
    <n v="3"/>
    <s v="Male"/>
    <n v="90"/>
    <n v="1"/>
    <n v="2"/>
    <s v="Manufacturing Director"/>
    <x v="2"/>
    <s v="Married"/>
    <x v="220"/>
    <n v="4381"/>
    <n v="0"/>
    <s v="Y"/>
    <s v="No"/>
    <n v="12"/>
    <n v="3"/>
    <n v="4"/>
    <n v="80"/>
    <n v="1"/>
    <n v="6"/>
    <n v="2"/>
    <n v="3"/>
    <n v="5"/>
    <n v="4"/>
    <n v="1"/>
    <n v="4"/>
    <s v="3-5 yrs"/>
  </r>
  <r>
    <n v="59"/>
    <x v="1"/>
    <s v="Travel_Rarely"/>
    <n v="142"/>
    <x v="1"/>
    <n v="3"/>
    <n v="3"/>
    <s v="Life Sciences"/>
    <n v="1"/>
    <n v="309"/>
    <n v="3"/>
    <s v="Male"/>
    <n v="70"/>
    <n v="2"/>
    <n v="1"/>
    <s v="Research Scientist"/>
    <x v="0"/>
    <s v="Married"/>
    <x v="221"/>
    <n v="8456"/>
    <n v="3"/>
    <s v="Y"/>
    <s v="No"/>
    <n v="17"/>
    <n v="3"/>
    <n v="1"/>
    <n v="80"/>
    <n v="1"/>
    <n v="7"/>
    <n v="6"/>
    <n v="3"/>
    <n v="1"/>
    <n v="0"/>
    <n v="0"/>
    <n v="0"/>
    <s v="0-2 yrs"/>
  </r>
  <r>
    <n v="37"/>
    <x v="1"/>
    <s v="Travel_Frequently"/>
    <n v="319"/>
    <x v="0"/>
    <n v="4"/>
    <n v="4"/>
    <s v="Marketing"/>
    <n v="1"/>
    <n v="311"/>
    <n v="1"/>
    <s v="Male"/>
    <n v="41"/>
    <n v="3"/>
    <n v="1"/>
    <s v="Sales Representative"/>
    <x v="0"/>
    <s v="Divorced"/>
    <x v="222"/>
    <n v="2539"/>
    <n v="4"/>
    <s v="Y"/>
    <s v="No"/>
    <n v="17"/>
    <n v="3"/>
    <n v="3"/>
    <n v="80"/>
    <n v="1"/>
    <n v="13"/>
    <n v="2"/>
    <n v="3"/>
    <n v="9"/>
    <n v="8"/>
    <n v="5"/>
    <n v="8"/>
    <s v="5+ yrs"/>
  </r>
  <r>
    <n v="29"/>
    <x v="1"/>
    <s v="Travel_Frequently"/>
    <n v="1413"/>
    <x v="0"/>
    <n v="1"/>
    <n v="1"/>
    <s v="Medical"/>
    <n v="1"/>
    <n v="312"/>
    <n v="2"/>
    <s v="Female"/>
    <n v="42"/>
    <n v="3"/>
    <n v="3"/>
    <s v="Sales Executive"/>
    <x v="0"/>
    <s v="Married"/>
    <x v="223"/>
    <n v="6599"/>
    <n v="1"/>
    <s v="Y"/>
    <s v="No"/>
    <n v="14"/>
    <n v="3"/>
    <n v="4"/>
    <n v="80"/>
    <n v="1"/>
    <n v="11"/>
    <n v="5"/>
    <n v="3"/>
    <n v="11"/>
    <n v="10"/>
    <n v="4"/>
    <n v="1"/>
    <s v="5+ yrs"/>
  </r>
  <r>
    <n v="35"/>
    <x v="1"/>
    <s v="Travel_Frequently"/>
    <n v="944"/>
    <x v="0"/>
    <n v="1"/>
    <n v="3"/>
    <s v="Marketing"/>
    <n v="1"/>
    <n v="314"/>
    <n v="3"/>
    <s v="Female"/>
    <n v="92"/>
    <n v="3"/>
    <n v="3"/>
    <s v="Sales Executive"/>
    <x v="2"/>
    <s v="Single"/>
    <x v="224"/>
    <n v="9096"/>
    <n v="1"/>
    <s v="Y"/>
    <s v="No"/>
    <n v="14"/>
    <n v="3"/>
    <n v="1"/>
    <n v="80"/>
    <n v="0"/>
    <n v="10"/>
    <n v="3"/>
    <n v="4"/>
    <n v="10"/>
    <n v="7"/>
    <n v="0"/>
    <n v="8"/>
    <s v="5+ yrs"/>
  </r>
  <r>
    <n v="29"/>
    <x v="0"/>
    <s v="Travel_Rarely"/>
    <n v="896"/>
    <x v="1"/>
    <n v="18"/>
    <n v="1"/>
    <s v="Medical"/>
    <n v="1"/>
    <n v="315"/>
    <n v="3"/>
    <s v="Male"/>
    <n v="86"/>
    <n v="2"/>
    <n v="1"/>
    <s v="Research Scientist"/>
    <x v="0"/>
    <s v="Single"/>
    <x v="225"/>
    <n v="14961"/>
    <n v="1"/>
    <s v="Y"/>
    <s v="Yes"/>
    <n v="13"/>
    <n v="3"/>
    <n v="3"/>
    <n v="80"/>
    <n v="0"/>
    <n v="4"/>
    <n v="3"/>
    <n v="2"/>
    <n v="4"/>
    <n v="3"/>
    <n v="0"/>
    <n v="1"/>
    <s v="3-5 yrs"/>
  </r>
  <r>
    <n v="52"/>
    <x v="1"/>
    <s v="Travel_Rarely"/>
    <n v="1323"/>
    <x v="1"/>
    <n v="2"/>
    <n v="3"/>
    <s v="Life Sciences"/>
    <n v="1"/>
    <n v="316"/>
    <n v="3"/>
    <s v="Female"/>
    <n v="89"/>
    <n v="2"/>
    <n v="1"/>
    <s v="Laboratory Technician"/>
    <x v="0"/>
    <s v="Single"/>
    <x v="226"/>
    <n v="3300"/>
    <n v="7"/>
    <s v="Y"/>
    <s v="No"/>
    <n v="15"/>
    <n v="3"/>
    <n v="2"/>
    <n v="80"/>
    <n v="0"/>
    <n v="6"/>
    <n v="3"/>
    <n v="2"/>
    <n v="2"/>
    <n v="2"/>
    <n v="2"/>
    <n v="2"/>
    <s v="0-2 yrs"/>
  </r>
  <r>
    <n v="42"/>
    <x v="1"/>
    <s v="Travel_Rarely"/>
    <n v="532"/>
    <x v="1"/>
    <n v="4"/>
    <n v="2"/>
    <s v="Technical Degree"/>
    <n v="1"/>
    <n v="319"/>
    <n v="3"/>
    <s v="Male"/>
    <n v="58"/>
    <n v="3"/>
    <n v="5"/>
    <s v="Manager"/>
    <x v="0"/>
    <s v="Married"/>
    <x v="227"/>
    <n v="4933"/>
    <n v="1"/>
    <s v="Y"/>
    <s v="No"/>
    <n v="11"/>
    <n v="3"/>
    <n v="4"/>
    <n v="80"/>
    <n v="0"/>
    <n v="22"/>
    <n v="3"/>
    <n v="3"/>
    <n v="22"/>
    <n v="17"/>
    <n v="11"/>
    <n v="15"/>
    <s v="5+ yrs"/>
  </r>
  <r>
    <n v="59"/>
    <x v="1"/>
    <s v="Travel_Rarely"/>
    <n v="818"/>
    <x v="2"/>
    <n v="6"/>
    <n v="2"/>
    <s v="Medical"/>
    <n v="1"/>
    <n v="321"/>
    <n v="2"/>
    <s v="Male"/>
    <n v="52"/>
    <n v="3"/>
    <n v="1"/>
    <s v="Human Resources"/>
    <x v="2"/>
    <s v="Married"/>
    <x v="228"/>
    <n v="25657"/>
    <n v="8"/>
    <s v="Y"/>
    <s v="No"/>
    <n v="17"/>
    <n v="3"/>
    <n v="4"/>
    <n v="80"/>
    <n v="0"/>
    <n v="7"/>
    <n v="2"/>
    <n v="2"/>
    <n v="2"/>
    <n v="2"/>
    <n v="2"/>
    <n v="2"/>
    <s v="0-2 yrs"/>
  </r>
  <r>
    <n v="50"/>
    <x v="1"/>
    <s v="Travel_Rarely"/>
    <n v="854"/>
    <x v="0"/>
    <n v="1"/>
    <n v="4"/>
    <s v="Medical"/>
    <n v="1"/>
    <n v="323"/>
    <n v="4"/>
    <s v="Female"/>
    <n v="68"/>
    <n v="3"/>
    <n v="5"/>
    <s v="Manager"/>
    <x v="0"/>
    <s v="Divorced"/>
    <x v="229"/>
    <n v="24118"/>
    <n v="3"/>
    <s v="Y"/>
    <s v="No"/>
    <n v="11"/>
    <n v="3"/>
    <n v="3"/>
    <n v="80"/>
    <n v="1"/>
    <n v="32"/>
    <n v="3"/>
    <n v="2"/>
    <n v="7"/>
    <n v="0"/>
    <n v="0"/>
    <n v="6"/>
    <s v="5+ yrs"/>
  </r>
  <r>
    <n v="33"/>
    <x v="0"/>
    <s v="Travel_Rarely"/>
    <n v="813"/>
    <x v="1"/>
    <n v="14"/>
    <n v="3"/>
    <s v="Medical"/>
    <n v="1"/>
    <n v="325"/>
    <n v="3"/>
    <s v="Male"/>
    <n v="58"/>
    <n v="3"/>
    <n v="1"/>
    <s v="Laboratory Technician"/>
    <x v="0"/>
    <s v="Married"/>
    <x v="230"/>
    <n v="22149"/>
    <n v="5"/>
    <s v="Y"/>
    <s v="Yes"/>
    <n v="13"/>
    <n v="3"/>
    <n v="3"/>
    <n v="80"/>
    <n v="1"/>
    <n v="8"/>
    <n v="2"/>
    <n v="1"/>
    <n v="5"/>
    <n v="4"/>
    <n v="0"/>
    <n v="4"/>
    <s v="3-5 yrs"/>
  </r>
  <r>
    <n v="43"/>
    <x v="1"/>
    <s v="Travel_Rarely"/>
    <n v="1034"/>
    <x v="0"/>
    <n v="16"/>
    <n v="3"/>
    <s v="Marketing"/>
    <n v="1"/>
    <n v="327"/>
    <n v="4"/>
    <s v="Female"/>
    <n v="80"/>
    <n v="3"/>
    <n v="4"/>
    <s v="Manager"/>
    <x v="0"/>
    <s v="Married"/>
    <x v="231"/>
    <n v="7744"/>
    <n v="5"/>
    <s v="Y"/>
    <s v="Yes"/>
    <n v="22"/>
    <n v="4"/>
    <n v="3"/>
    <n v="80"/>
    <n v="1"/>
    <n v="22"/>
    <n v="3"/>
    <n v="3"/>
    <n v="17"/>
    <n v="13"/>
    <n v="1"/>
    <n v="9"/>
    <s v="5+ yrs"/>
  </r>
  <r>
    <n v="33"/>
    <x v="0"/>
    <s v="Travel_Rarely"/>
    <n v="465"/>
    <x v="1"/>
    <n v="2"/>
    <n v="2"/>
    <s v="Life Sciences"/>
    <n v="1"/>
    <n v="328"/>
    <n v="1"/>
    <s v="Female"/>
    <n v="39"/>
    <n v="3"/>
    <n v="1"/>
    <s v="Laboratory Technician"/>
    <x v="3"/>
    <s v="Married"/>
    <x v="232"/>
    <n v="21509"/>
    <n v="7"/>
    <s v="Y"/>
    <s v="No"/>
    <n v="20"/>
    <n v="4"/>
    <n v="1"/>
    <n v="80"/>
    <n v="0"/>
    <n v="13"/>
    <n v="3"/>
    <n v="4"/>
    <n v="9"/>
    <n v="7"/>
    <n v="1"/>
    <n v="7"/>
    <s v="5+ yrs"/>
  </r>
  <r>
    <n v="52"/>
    <x v="1"/>
    <s v="Non-Travel"/>
    <n v="771"/>
    <x v="0"/>
    <n v="2"/>
    <n v="4"/>
    <s v="Life Sciences"/>
    <n v="1"/>
    <n v="329"/>
    <n v="1"/>
    <s v="Male"/>
    <n v="79"/>
    <n v="2"/>
    <n v="5"/>
    <s v="Manager"/>
    <x v="2"/>
    <s v="Single"/>
    <x v="233"/>
    <n v="21030"/>
    <n v="1"/>
    <s v="Y"/>
    <s v="Yes"/>
    <n v="18"/>
    <n v="3"/>
    <n v="4"/>
    <n v="80"/>
    <n v="0"/>
    <n v="33"/>
    <n v="2"/>
    <n v="4"/>
    <n v="33"/>
    <n v="7"/>
    <n v="15"/>
    <n v="12"/>
    <s v="5+ yrs"/>
  </r>
  <r>
    <n v="32"/>
    <x v="1"/>
    <s v="Travel_Rarely"/>
    <n v="1401"/>
    <x v="0"/>
    <n v="4"/>
    <n v="2"/>
    <s v="Life Sciences"/>
    <n v="1"/>
    <n v="330"/>
    <n v="3"/>
    <s v="Female"/>
    <n v="56"/>
    <n v="3"/>
    <n v="1"/>
    <s v="Sales Representative"/>
    <x v="1"/>
    <s v="Married"/>
    <x v="234"/>
    <n v="20990"/>
    <n v="2"/>
    <s v="Y"/>
    <s v="No"/>
    <n v="11"/>
    <n v="3"/>
    <n v="1"/>
    <n v="80"/>
    <n v="1"/>
    <n v="6"/>
    <n v="5"/>
    <n v="3"/>
    <n v="4"/>
    <n v="3"/>
    <n v="1"/>
    <n v="2"/>
    <s v="3-5 yrs"/>
  </r>
  <r>
    <n v="32"/>
    <x v="0"/>
    <s v="Travel_Rarely"/>
    <n v="515"/>
    <x v="1"/>
    <n v="1"/>
    <n v="3"/>
    <s v="Life Sciences"/>
    <n v="1"/>
    <n v="331"/>
    <n v="4"/>
    <s v="Male"/>
    <n v="62"/>
    <n v="2"/>
    <n v="1"/>
    <s v="Laboratory Technician"/>
    <x v="2"/>
    <s v="Single"/>
    <x v="235"/>
    <n v="9571"/>
    <n v="0"/>
    <s v="Y"/>
    <s v="Yes"/>
    <n v="14"/>
    <n v="3"/>
    <n v="4"/>
    <n v="80"/>
    <n v="0"/>
    <n v="4"/>
    <n v="2"/>
    <n v="1"/>
    <n v="3"/>
    <n v="2"/>
    <n v="1"/>
    <n v="2"/>
    <s v="3-5 yrs"/>
  </r>
  <r>
    <n v="39"/>
    <x v="1"/>
    <s v="Travel_Rarely"/>
    <n v="1431"/>
    <x v="1"/>
    <n v="1"/>
    <n v="4"/>
    <s v="Medical"/>
    <n v="1"/>
    <n v="332"/>
    <n v="3"/>
    <s v="Female"/>
    <n v="96"/>
    <n v="3"/>
    <n v="1"/>
    <s v="Laboratory Technician"/>
    <x v="2"/>
    <s v="Divorced"/>
    <x v="236"/>
    <n v="15417"/>
    <n v="7"/>
    <s v="Y"/>
    <s v="No"/>
    <n v="14"/>
    <n v="3"/>
    <n v="3"/>
    <n v="80"/>
    <n v="3"/>
    <n v="7"/>
    <n v="1"/>
    <n v="3"/>
    <n v="3"/>
    <n v="2"/>
    <n v="1"/>
    <n v="2"/>
    <s v="3-5 yrs"/>
  </r>
  <r>
    <n v="32"/>
    <x v="1"/>
    <s v="Non-Travel"/>
    <n v="976"/>
    <x v="0"/>
    <n v="26"/>
    <n v="4"/>
    <s v="Marketing"/>
    <n v="1"/>
    <n v="333"/>
    <n v="3"/>
    <s v="Male"/>
    <n v="100"/>
    <n v="3"/>
    <n v="2"/>
    <s v="Sales Executive"/>
    <x v="0"/>
    <s v="Married"/>
    <x v="237"/>
    <n v="12069"/>
    <n v="0"/>
    <s v="Y"/>
    <s v="No"/>
    <n v="18"/>
    <n v="3"/>
    <n v="1"/>
    <n v="80"/>
    <n v="0"/>
    <n v="4"/>
    <n v="2"/>
    <n v="3"/>
    <n v="3"/>
    <n v="2"/>
    <n v="2"/>
    <n v="2"/>
    <s v="3-5 yrs"/>
  </r>
  <r>
    <n v="41"/>
    <x v="1"/>
    <s v="Travel_Rarely"/>
    <n v="1411"/>
    <x v="1"/>
    <n v="19"/>
    <n v="2"/>
    <s v="Life Sciences"/>
    <n v="1"/>
    <n v="334"/>
    <n v="3"/>
    <s v="Male"/>
    <n v="36"/>
    <n v="3"/>
    <n v="2"/>
    <s v="Research Scientist"/>
    <x v="3"/>
    <s v="Divorced"/>
    <x v="169"/>
    <n v="19877"/>
    <n v="2"/>
    <s v="Y"/>
    <s v="No"/>
    <n v="16"/>
    <n v="3"/>
    <n v="1"/>
    <n v="80"/>
    <n v="2"/>
    <n v="17"/>
    <n v="2"/>
    <n v="2"/>
    <n v="1"/>
    <n v="0"/>
    <n v="0"/>
    <n v="0"/>
    <s v="0-2 yrs"/>
  </r>
  <r>
    <n v="40"/>
    <x v="1"/>
    <s v="Travel_Rarely"/>
    <n v="1300"/>
    <x v="1"/>
    <n v="24"/>
    <n v="2"/>
    <s v="Technical Degree"/>
    <n v="1"/>
    <n v="335"/>
    <n v="1"/>
    <s v="Male"/>
    <n v="62"/>
    <n v="3"/>
    <n v="2"/>
    <s v="Research Scientist"/>
    <x v="0"/>
    <s v="Divorced"/>
    <x v="238"/>
    <n v="24447"/>
    <n v="1"/>
    <s v="Y"/>
    <s v="No"/>
    <n v="17"/>
    <n v="3"/>
    <n v="1"/>
    <n v="80"/>
    <n v="2"/>
    <n v="9"/>
    <n v="3"/>
    <n v="3"/>
    <n v="9"/>
    <n v="8"/>
    <n v="4"/>
    <n v="7"/>
    <s v="5+ yrs"/>
  </r>
  <r>
    <n v="45"/>
    <x v="1"/>
    <s v="Travel_Rarely"/>
    <n v="252"/>
    <x v="1"/>
    <n v="1"/>
    <n v="3"/>
    <s v="Other"/>
    <n v="1"/>
    <n v="336"/>
    <n v="3"/>
    <s v="Male"/>
    <n v="70"/>
    <n v="4"/>
    <n v="5"/>
    <s v="Manager"/>
    <x v="0"/>
    <s v="Married"/>
    <x v="239"/>
    <n v="15970"/>
    <n v="0"/>
    <s v="Y"/>
    <s v="No"/>
    <n v="11"/>
    <n v="3"/>
    <n v="3"/>
    <n v="80"/>
    <n v="1"/>
    <n v="25"/>
    <n v="2"/>
    <n v="3"/>
    <n v="24"/>
    <n v="0"/>
    <n v="1"/>
    <n v="7"/>
    <s v="5+ yrs"/>
  </r>
  <r>
    <n v="31"/>
    <x v="1"/>
    <s v="Travel_Frequently"/>
    <n v="1327"/>
    <x v="1"/>
    <n v="3"/>
    <n v="4"/>
    <s v="Medical"/>
    <n v="1"/>
    <n v="337"/>
    <n v="2"/>
    <s v="Male"/>
    <n v="73"/>
    <n v="3"/>
    <n v="3"/>
    <s v="Research Director"/>
    <x v="2"/>
    <s v="Divorced"/>
    <x v="240"/>
    <n v="13523"/>
    <n v="9"/>
    <s v="Y"/>
    <s v="No"/>
    <n v="12"/>
    <n v="3"/>
    <n v="1"/>
    <n v="80"/>
    <n v="1"/>
    <n v="9"/>
    <n v="3"/>
    <n v="3"/>
    <n v="2"/>
    <n v="2"/>
    <n v="2"/>
    <n v="2"/>
    <s v="0-2 yrs"/>
  </r>
  <r>
    <n v="33"/>
    <x v="1"/>
    <s v="Travel_Rarely"/>
    <n v="832"/>
    <x v="1"/>
    <n v="5"/>
    <n v="4"/>
    <s v="Life Sciences"/>
    <n v="1"/>
    <n v="338"/>
    <n v="3"/>
    <s v="Female"/>
    <n v="63"/>
    <n v="2"/>
    <n v="1"/>
    <s v="Research Scientist"/>
    <x v="0"/>
    <s v="Married"/>
    <x v="12"/>
    <n v="14776"/>
    <n v="1"/>
    <s v="Y"/>
    <s v="No"/>
    <n v="13"/>
    <n v="3"/>
    <n v="3"/>
    <n v="80"/>
    <n v="1"/>
    <n v="2"/>
    <n v="2"/>
    <n v="2"/>
    <n v="2"/>
    <n v="2"/>
    <n v="0"/>
    <n v="2"/>
    <s v="0-2 yrs"/>
  </r>
  <r>
    <n v="34"/>
    <x v="1"/>
    <s v="Travel_Rarely"/>
    <n v="470"/>
    <x v="1"/>
    <n v="2"/>
    <n v="4"/>
    <s v="Life Sciences"/>
    <n v="1"/>
    <n v="339"/>
    <n v="4"/>
    <s v="Male"/>
    <n v="84"/>
    <n v="2"/>
    <n v="2"/>
    <s v="Manufacturing Director"/>
    <x v="3"/>
    <s v="Married"/>
    <x v="241"/>
    <n v="23687"/>
    <n v="6"/>
    <s v="Y"/>
    <s v="No"/>
    <n v="13"/>
    <n v="3"/>
    <n v="2"/>
    <n v="80"/>
    <n v="1"/>
    <n v="13"/>
    <n v="3"/>
    <n v="3"/>
    <n v="11"/>
    <n v="9"/>
    <n v="5"/>
    <n v="9"/>
    <s v="5+ yrs"/>
  </r>
  <r>
    <n v="37"/>
    <x v="1"/>
    <s v="Travel_Rarely"/>
    <n v="1017"/>
    <x v="1"/>
    <n v="1"/>
    <n v="2"/>
    <s v="Medical"/>
    <n v="1"/>
    <n v="340"/>
    <n v="3"/>
    <s v="Female"/>
    <n v="83"/>
    <n v="2"/>
    <n v="1"/>
    <s v="Research Scientist"/>
    <x v="3"/>
    <s v="Married"/>
    <x v="242"/>
    <n v="18697"/>
    <n v="2"/>
    <s v="Y"/>
    <s v="No"/>
    <n v="14"/>
    <n v="3"/>
    <n v="1"/>
    <n v="80"/>
    <n v="1"/>
    <n v="17"/>
    <n v="2"/>
    <n v="2"/>
    <n v="3"/>
    <n v="1"/>
    <n v="0"/>
    <n v="2"/>
    <s v="3-5 yrs"/>
  </r>
  <r>
    <n v="45"/>
    <x v="1"/>
    <s v="Travel_Frequently"/>
    <n v="1199"/>
    <x v="1"/>
    <n v="7"/>
    <n v="4"/>
    <s v="Life Sciences"/>
    <n v="1"/>
    <n v="341"/>
    <n v="1"/>
    <s v="Male"/>
    <n v="77"/>
    <n v="4"/>
    <n v="2"/>
    <s v="Manufacturing Director"/>
    <x v="2"/>
    <s v="Married"/>
    <x v="243"/>
    <n v="5118"/>
    <n v="4"/>
    <s v="Y"/>
    <s v="No"/>
    <n v="17"/>
    <n v="3"/>
    <n v="4"/>
    <n v="80"/>
    <n v="1"/>
    <n v="9"/>
    <n v="1"/>
    <n v="3"/>
    <n v="3"/>
    <n v="2"/>
    <n v="0"/>
    <n v="2"/>
    <s v="3-5 yrs"/>
  </r>
  <r>
    <n v="37"/>
    <x v="0"/>
    <s v="Travel_Frequently"/>
    <n v="504"/>
    <x v="1"/>
    <n v="10"/>
    <n v="3"/>
    <s v="Medical"/>
    <n v="1"/>
    <n v="342"/>
    <n v="1"/>
    <s v="Male"/>
    <n v="61"/>
    <n v="3"/>
    <n v="3"/>
    <s v="Manufacturing Director"/>
    <x v="2"/>
    <s v="Divorced"/>
    <x v="244"/>
    <n v="22573"/>
    <n v="6"/>
    <s v="Y"/>
    <s v="No"/>
    <n v="11"/>
    <n v="3"/>
    <n v="2"/>
    <n v="80"/>
    <n v="2"/>
    <n v="17"/>
    <n v="5"/>
    <n v="3"/>
    <n v="1"/>
    <n v="0"/>
    <n v="0"/>
    <n v="0"/>
    <s v="0-2 yrs"/>
  </r>
  <r>
    <n v="39"/>
    <x v="1"/>
    <s v="Travel_Frequently"/>
    <n v="505"/>
    <x v="1"/>
    <n v="2"/>
    <n v="4"/>
    <s v="Technical Degree"/>
    <n v="1"/>
    <n v="343"/>
    <n v="3"/>
    <s v="Female"/>
    <n v="64"/>
    <n v="3"/>
    <n v="3"/>
    <s v="Healthcare Representative"/>
    <x v="2"/>
    <s v="Single"/>
    <x v="245"/>
    <n v="6420"/>
    <n v="0"/>
    <s v="Y"/>
    <s v="No"/>
    <n v="25"/>
    <n v="4"/>
    <n v="4"/>
    <n v="80"/>
    <n v="0"/>
    <n v="20"/>
    <n v="1"/>
    <n v="3"/>
    <n v="19"/>
    <n v="6"/>
    <n v="11"/>
    <n v="8"/>
    <s v="5+ yrs"/>
  </r>
  <r>
    <n v="29"/>
    <x v="1"/>
    <s v="Travel_Rarely"/>
    <n v="665"/>
    <x v="1"/>
    <n v="15"/>
    <n v="3"/>
    <s v="Life Sciences"/>
    <n v="1"/>
    <n v="346"/>
    <n v="3"/>
    <s v="Male"/>
    <n v="60"/>
    <n v="3"/>
    <n v="1"/>
    <s v="Research Scientist"/>
    <x v="0"/>
    <s v="Single"/>
    <x v="246"/>
    <n v="22673"/>
    <n v="1"/>
    <s v="Y"/>
    <s v="No"/>
    <n v="19"/>
    <n v="3"/>
    <n v="1"/>
    <n v="80"/>
    <n v="0"/>
    <n v="6"/>
    <n v="1"/>
    <n v="3"/>
    <n v="6"/>
    <n v="5"/>
    <n v="1"/>
    <n v="5"/>
    <s v="5+ yrs"/>
  </r>
  <r>
    <n v="42"/>
    <x v="1"/>
    <s v="Travel_Rarely"/>
    <n v="916"/>
    <x v="1"/>
    <n v="17"/>
    <n v="2"/>
    <s v="Life Sciences"/>
    <n v="1"/>
    <n v="347"/>
    <n v="4"/>
    <s v="Female"/>
    <n v="82"/>
    <n v="4"/>
    <n v="2"/>
    <s v="Research Scientist"/>
    <x v="3"/>
    <s v="Single"/>
    <x v="247"/>
    <n v="23016"/>
    <n v="3"/>
    <s v="Y"/>
    <s v="Yes"/>
    <n v="13"/>
    <n v="3"/>
    <n v="3"/>
    <n v="80"/>
    <n v="0"/>
    <n v="10"/>
    <n v="1"/>
    <n v="3"/>
    <n v="3"/>
    <n v="2"/>
    <n v="0"/>
    <n v="2"/>
    <s v="3-5 yrs"/>
  </r>
  <r>
    <n v="29"/>
    <x v="1"/>
    <s v="Travel_Rarely"/>
    <n v="1247"/>
    <x v="0"/>
    <n v="20"/>
    <n v="2"/>
    <s v="Marketing"/>
    <n v="1"/>
    <n v="349"/>
    <n v="4"/>
    <s v="Male"/>
    <n v="45"/>
    <n v="3"/>
    <n v="2"/>
    <s v="Sales Executive"/>
    <x v="0"/>
    <s v="Divorced"/>
    <x v="248"/>
    <n v="10732"/>
    <n v="2"/>
    <s v="Y"/>
    <s v="No"/>
    <n v="14"/>
    <n v="3"/>
    <n v="4"/>
    <n v="80"/>
    <n v="1"/>
    <n v="10"/>
    <n v="2"/>
    <n v="3"/>
    <n v="3"/>
    <n v="2"/>
    <n v="0"/>
    <n v="2"/>
    <s v="3-5 yrs"/>
  </r>
  <r>
    <n v="25"/>
    <x v="1"/>
    <s v="Travel_Rarely"/>
    <n v="685"/>
    <x v="1"/>
    <n v="1"/>
    <n v="3"/>
    <s v="Life Sciences"/>
    <n v="1"/>
    <n v="350"/>
    <n v="1"/>
    <s v="Female"/>
    <n v="62"/>
    <n v="3"/>
    <n v="2"/>
    <s v="Manufacturing Director"/>
    <x v="2"/>
    <s v="Married"/>
    <x v="249"/>
    <n v="7505"/>
    <n v="0"/>
    <s v="Y"/>
    <s v="No"/>
    <n v="12"/>
    <n v="3"/>
    <n v="4"/>
    <n v="80"/>
    <n v="2"/>
    <n v="5"/>
    <n v="3"/>
    <n v="3"/>
    <n v="4"/>
    <n v="2"/>
    <n v="1"/>
    <n v="2"/>
    <s v="3-5 yrs"/>
  </r>
  <r>
    <n v="42"/>
    <x v="1"/>
    <s v="Travel_Rarely"/>
    <n v="269"/>
    <x v="1"/>
    <n v="2"/>
    <n v="3"/>
    <s v="Medical"/>
    <n v="1"/>
    <n v="351"/>
    <n v="4"/>
    <s v="Female"/>
    <n v="56"/>
    <n v="2"/>
    <n v="1"/>
    <s v="Laboratory Technician"/>
    <x v="3"/>
    <s v="Divorced"/>
    <x v="250"/>
    <n v="8007"/>
    <n v="0"/>
    <s v="Y"/>
    <s v="Yes"/>
    <n v="11"/>
    <n v="3"/>
    <n v="3"/>
    <n v="80"/>
    <n v="1"/>
    <n v="10"/>
    <n v="4"/>
    <n v="3"/>
    <n v="9"/>
    <n v="6"/>
    <n v="7"/>
    <n v="8"/>
    <s v="5+ yrs"/>
  </r>
  <r>
    <n v="40"/>
    <x v="1"/>
    <s v="Travel_Rarely"/>
    <n v="1416"/>
    <x v="1"/>
    <n v="2"/>
    <n v="2"/>
    <s v="Medical"/>
    <n v="1"/>
    <n v="352"/>
    <n v="1"/>
    <s v="Male"/>
    <n v="49"/>
    <n v="3"/>
    <n v="5"/>
    <s v="Research Director"/>
    <x v="2"/>
    <s v="Divorced"/>
    <x v="251"/>
    <n v="5949"/>
    <n v="0"/>
    <s v="Y"/>
    <s v="No"/>
    <n v="19"/>
    <n v="3"/>
    <n v="4"/>
    <n v="80"/>
    <n v="1"/>
    <n v="22"/>
    <n v="5"/>
    <n v="3"/>
    <n v="21"/>
    <n v="7"/>
    <n v="3"/>
    <n v="9"/>
    <s v="5+ yrs"/>
  </r>
  <r>
    <n v="51"/>
    <x v="1"/>
    <s v="Travel_Rarely"/>
    <n v="833"/>
    <x v="1"/>
    <n v="1"/>
    <n v="3"/>
    <s v="Life Sciences"/>
    <n v="1"/>
    <n v="353"/>
    <n v="3"/>
    <s v="Male"/>
    <n v="96"/>
    <n v="3"/>
    <n v="1"/>
    <s v="Research Scientist"/>
    <x v="0"/>
    <s v="Married"/>
    <x v="252"/>
    <n v="23231"/>
    <n v="1"/>
    <s v="Y"/>
    <s v="No"/>
    <n v="11"/>
    <n v="3"/>
    <n v="2"/>
    <n v="80"/>
    <n v="0"/>
    <n v="1"/>
    <n v="0"/>
    <n v="2"/>
    <n v="1"/>
    <n v="0"/>
    <n v="0"/>
    <n v="0"/>
    <s v="0-2 yrs"/>
  </r>
  <r>
    <n v="31"/>
    <x v="0"/>
    <s v="Travel_Frequently"/>
    <n v="307"/>
    <x v="1"/>
    <n v="29"/>
    <n v="2"/>
    <s v="Medical"/>
    <n v="1"/>
    <n v="355"/>
    <n v="3"/>
    <s v="Male"/>
    <n v="71"/>
    <n v="2"/>
    <n v="1"/>
    <s v="Laboratory Technician"/>
    <x v="1"/>
    <s v="Single"/>
    <x v="253"/>
    <n v="11652"/>
    <n v="0"/>
    <s v="Y"/>
    <s v="No"/>
    <n v="11"/>
    <n v="3"/>
    <n v="2"/>
    <n v="80"/>
    <n v="0"/>
    <n v="6"/>
    <n v="2"/>
    <n v="4"/>
    <n v="5"/>
    <n v="4"/>
    <n v="1"/>
    <n v="4"/>
    <s v="3-5 yrs"/>
  </r>
  <r>
    <n v="32"/>
    <x v="1"/>
    <s v="Travel_Frequently"/>
    <n v="1311"/>
    <x v="1"/>
    <n v="7"/>
    <n v="3"/>
    <s v="Life Sciences"/>
    <n v="1"/>
    <n v="359"/>
    <n v="2"/>
    <s v="Male"/>
    <n v="100"/>
    <n v="4"/>
    <n v="1"/>
    <s v="Laboratory Technician"/>
    <x v="1"/>
    <s v="Married"/>
    <x v="254"/>
    <n v="26062"/>
    <n v="1"/>
    <s v="Y"/>
    <s v="No"/>
    <n v="20"/>
    <n v="4"/>
    <n v="3"/>
    <n v="80"/>
    <n v="0"/>
    <n v="5"/>
    <n v="3"/>
    <n v="1"/>
    <n v="5"/>
    <n v="1"/>
    <n v="0"/>
    <n v="3"/>
    <s v="3-5 yrs"/>
  </r>
  <r>
    <n v="38"/>
    <x v="1"/>
    <s v="Non-Travel"/>
    <n v="1327"/>
    <x v="0"/>
    <n v="2"/>
    <n v="2"/>
    <s v="Life Sciences"/>
    <n v="1"/>
    <n v="361"/>
    <n v="4"/>
    <s v="Male"/>
    <n v="39"/>
    <n v="2"/>
    <n v="2"/>
    <s v="Sales Executive"/>
    <x v="0"/>
    <s v="Married"/>
    <x v="255"/>
    <n v="19682"/>
    <n v="3"/>
    <s v="Y"/>
    <s v="No"/>
    <n v="18"/>
    <n v="3"/>
    <n v="4"/>
    <n v="80"/>
    <n v="1"/>
    <n v="13"/>
    <n v="0"/>
    <n v="3"/>
    <n v="8"/>
    <n v="7"/>
    <n v="7"/>
    <n v="5"/>
    <s v="5+ yrs"/>
  </r>
  <r>
    <n v="32"/>
    <x v="1"/>
    <s v="Travel_Rarely"/>
    <n v="128"/>
    <x v="1"/>
    <n v="2"/>
    <n v="1"/>
    <s v="Technical Degree"/>
    <n v="1"/>
    <n v="362"/>
    <n v="4"/>
    <s v="Male"/>
    <n v="84"/>
    <n v="2"/>
    <n v="2"/>
    <s v="Laboratory Technician"/>
    <x v="3"/>
    <s v="Single"/>
    <x v="256"/>
    <n v="19737"/>
    <n v="4"/>
    <s v="Y"/>
    <s v="No"/>
    <n v="13"/>
    <n v="3"/>
    <n v="4"/>
    <n v="80"/>
    <n v="0"/>
    <n v="9"/>
    <n v="5"/>
    <n v="3"/>
    <n v="6"/>
    <n v="2"/>
    <n v="0"/>
    <n v="4"/>
    <s v="5+ yrs"/>
  </r>
  <r>
    <n v="46"/>
    <x v="1"/>
    <s v="Travel_Rarely"/>
    <n v="488"/>
    <x v="0"/>
    <n v="2"/>
    <n v="3"/>
    <s v="Technical Degree"/>
    <n v="1"/>
    <n v="363"/>
    <n v="3"/>
    <s v="Female"/>
    <n v="75"/>
    <n v="1"/>
    <n v="4"/>
    <s v="Manager"/>
    <x v="1"/>
    <s v="Married"/>
    <x v="257"/>
    <n v="14977"/>
    <n v="3"/>
    <s v="Y"/>
    <s v="Yes"/>
    <n v="12"/>
    <n v="3"/>
    <n v="2"/>
    <n v="80"/>
    <n v="1"/>
    <n v="28"/>
    <n v="2"/>
    <n v="2"/>
    <n v="7"/>
    <n v="7"/>
    <n v="7"/>
    <n v="7"/>
    <s v="5+ yrs"/>
  </r>
  <r>
    <n v="28"/>
    <x v="0"/>
    <s v="Travel_Rarely"/>
    <n v="529"/>
    <x v="1"/>
    <n v="2"/>
    <n v="4"/>
    <s v="Life Sciences"/>
    <n v="1"/>
    <n v="364"/>
    <n v="1"/>
    <s v="Male"/>
    <n v="79"/>
    <n v="3"/>
    <n v="1"/>
    <s v="Laboratory Technician"/>
    <x v="2"/>
    <s v="Single"/>
    <x v="258"/>
    <n v="14935"/>
    <n v="2"/>
    <s v="Y"/>
    <s v="No"/>
    <n v="11"/>
    <n v="3"/>
    <n v="3"/>
    <n v="80"/>
    <n v="0"/>
    <n v="5"/>
    <n v="5"/>
    <n v="1"/>
    <n v="0"/>
    <n v="0"/>
    <n v="0"/>
    <n v="0"/>
    <s v="0-2 yrs"/>
  </r>
  <r>
    <n v="29"/>
    <x v="1"/>
    <s v="Travel_Rarely"/>
    <n v="1210"/>
    <x v="0"/>
    <n v="2"/>
    <n v="3"/>
    <s v="Medical"/>
    <n v="1"/>
    <n v="366"/>
    <n v="1"/>
    <s v="Male"/>
    <n v="78"/>
    <n v="2"/>
    <n v="2"/>
    <s v="Sales Executive"/>
    <x v="1"/>
    <s v="Married"/>
    <x v="259"/>
    <n v="3687"/>
    <n v="2"/>
    <s v="Y"/>
    <s v="No"/>
    <n v="19"/>
    <n v="3"/>
    <n v="2"/>
    <n v="80"/>
    <n v="2"/>
    <n v="10"/>
    <n v="2"/>
    <n v="3"/>
    <n v="0"/>
    <n v="0"/>
    <n v="0"/>
    <n v="0"/>
    <s v="0-2 yrs"/>
  </r>
  <r>
    <n v="31"/>
    <x v="1"/>
    <s v="Travel_Rarely"/>
    <n v="1463"/>
    <x v="1"/>
    <n v="23"/>
    <n v="3"/>
    <s v="Medical"/>
    <n v="1"/>
    <n v="367"/>
    <n v="2"/>
    <s v="Male"/>
    <n v="64"/>
    <n v="2"/>
    <n v="2"/>
    <s v="Healthcare Representative"/>
    <x v="0"/>
    <s v="Married"/>
    <x v="260"/>
    <n v="14408"/>
    <n v="0"/>
    <s v="Y"/>
    <s v="No"/>
    <n v="21"/>
    <n v="4"/>
    <n v="2"/>
    <n v="80"/>
    <n v="1"/>
    <n v="10"/>
    <n v="2"/>
    <n v="3"/>
    <n v="9"/>
    <n v="0"/>
    <n v="7"/>
    <n v="8"/>
    <s v="5+ yrs"/>
  </r>
  <r>
    <n v="25"/>
    <x v="1"/>
    <s v="Non-Travel"/>
    <n v="675"/>
    <x v="1"/>
    <n v="5"/>
    <n v="2"/>
    <s v="Life Sciences"/>
    <n v="1"/>
    <n v="369"/>
    <n v="2"/>
    <s v="Male"/>
    <n v="85"/>
    <n v="4"/>
    <n v="2"/>
    <s v="Healthcare Representative"/>
    <x v="3"/>
    <s v="Divorced"/>
    <x v="261"/>
    <n v="18384"/>
    <n v="1"/>
    <s v="Y"/>
    <s v="No"/>
    <n v="12"/>
    <n v="3"/>
    <n v="4"/>
    <n v="80"/>
    <n v="2"/>
    <n v="6"/>
    <n v="2"/>
    <n v="3"/>
    <n v="6"/>
    <n v="3"/>
    <n v="1"/>
    <n v="5"/>
    <s v="5+ yrs"/>
  </r>
  <r>
    <n v="45"/>
    <x v="1"/>
    <s v="Travel_Rarely"/>
    <n v="1385"/>
    <x v="1"/>
    <n v="20"/>
    <n v="2"/>
    <s v="Medical"/>
    <n v="1"/>
    <n v="372"/>
    <n v="3"/>
    <s v="Male"/>
    <n v="79"/>
    <n v="3"/>
    <n v="4"/>
    <s v="Healthcare Representative"/>
    <x v="0"/>
    <s v="Married"/>
    <x v="262"/>
    <n v="7501"/>
    <n v="0"/>
    <s v="Y"/>
    <s v="Yes"/>
    <n v="14"/>
    <n v="3"/>
    <n v="2"/>
    <n v="80"/>
    <n v="0"/>
    <n v="21"/>
    <n v="2"/>
    <n v="3"/>
    <n v="20"/>
    <n v="7"/>
    <n v="4"/>
    <n v="10"/>
    <s v="5+ yrs"/>
  </r>
  <r>
    <n v="36"/>
    <x v="1"/>
    <s v="Travel_Rarely"/>
    <n v="1403"/>
    <x v="1"/>
    <n v="6"/>
    <n v="3"/>
    <s v="Life Sciences"/>
    <n v="1"/>
    <n v="373"/>
    <n v="4"/>
    <s v="Male"/>
    <n v="47"/>
    <n v="3"/>
    <n v="1"/>
    <s v="Laboratory Technician"/>
    <x v="0"/>
    <s v="Married"/>
    <x v="263"/>
    <n v="20251"/>
    <n v="0"/>
    <s v="Y"/>
    <s v="No"/>
    <n v="11"/>
    <n v="3"/>
    <n v="3"/>
    <n v="80"/>
    <n v="1"/>
    <n v="16"/>
    <n v="4"/>
    <n v="3"/>
    <n v="15"/>
    <n v="13"/>
    <n v="10"/>
    <n v="11"/>
    <s v="5+ yrs"/>
  </r>
  <r>
    <n v="55"/>
    <x v="1"/>
    <s v="Travel_Rarely"/>
    <n v="452"/>
    <x v="1"/>
    <n v="1"/>
    <n v="3"/>
    <s v="Medical"/>
    <n v="1"/>
    <n v="374"/>
    <n v="4"/>
    <s v="Male"/>
    <n v="81"/>
    <n v="3"/>
    <n v="5"/>
    <s v="Manager"/>
    <x v="3"/>
    <s v="Single"/>
    <x v="264"/>
    <n v="18938"/>
    <n v="0"/>
    <s v="Y"/>
    <s v="Yes"/>
    <n v="14"/>
    <n v="3"/>
    <n v="3"/>
    <n v="80"/>
    <n v="0"/>
    <n v="37"/>
    <n v="2"/>
    <n v="3"/>
    <n v="36"/>
    <n v="10"/>
    <n v="4"/>
    <n v="13"/>
    <s v="5+ yrs"/>
  </r>
  <r>
    <n v="47"/>
    <x v="0"/>
    <s v="Non-Travel"/>
    <n v="666"/>
    <x v="1"/>
    <n v="29"/>
    <n v="4"/>
    <s v="Life Sciences"/>
    <n v="1"/>
    <n v="376"/>
    <n v="1"/>
    <s v="Male"/>
    <n v="88"/>
    <n v="3"/>
    <n v="3"/>
    <s v="Manager"/>
    <x v="1"/>
    <s v="Married"/>
    <x v="265"/>
    <n v="10268"/>
    <n v="1"/>
    <s v="Y"/>
    <s v="Yes"/>
    <n v="12"/>
    <n v="3"/>
    <n v="4"/>
    <n v="80"/>
    <n v="1"/>
    <n v="10"/>
    <n v="2"/>
    <n v="2"/>
    <n v="10"/>
    <n v="7"/>
    <n v="9"/>
    <n v="9"/>
    <s v="5+ yrs"/>
  </r>
  <r>
    <n v="28"/>
    <x v="1"/>
    <s v="Travel_Rarely"/>
    <n v="1158"/>
    <x v="1"/>
    <n v="9"/>
    <n v="3"/>
    <s v="Medical"/>
    <n v="1"/>
    <n v="377"/>
    <n v="4"/>
    <s v="Male"/>
    <n v="94"/>
    <n v="3"/>
    <n v="1"/>
    <s v="Research Scientist"/>
    <x v="0"/>
    <s v="Married"/>
    <x v="266"/>
    <n v="2613"/>
    <n v="1"/>
    <s v="Y"/>
    <s v="No"/>
    <n v="23"/>
    <n v="4"/>
    <n v="4"/>
    <n v="80"/>
    <n v="1"/>
    <n v="5"/>
    <n v="3"/>
    <n v="2"/>
    <n v="5"/>
    <n v="2"/>
    <n v="0"/>
    <n v="4"/>
    <s v="3-5 yrs"/>
  </r>
  <r>
    <n v="37"/>
    <x v="1"/>
    <s v="Travel_Rarely"/>
    <n v="228"/>
    <x v="0"/>
    <n v="6"/>
    <n v="4"/>
    <s v="Medical"/>
    <n v="1"/>
    <n v="378"/>
    <n v="3"/>
    <s v="Male"/>
    <n v="98"/>
    <n v="3"/>
    <n v="2"/>
    <s v="Sales Executive"/>
    <x v="0"/>
    <s v="Married"/>
    <x v="267"/>
    <n v="22825"/>
    <n v="4"/>
    <s v="Y"/>
    <s v="No"/>
    <n v="14"/>
    <n v="3"/>
    <n v="2"/>
    <n v="80"/>
    <n v="1"/>
    <n v="7"/>
    <n v="5"/>
    <n v="4"/>
    <n v="5"/>
    <n v="4"/>
    <n v="0"/>
    <n v="1"/>
    <s v="3-5 yrs"/>
  </r>
  <r>
    <n v="21"/>
    <x v="1"/>
    <s v="Travel_Rarely"/>
    <n v="996"/>
    <x v="1"/>
    <n v="3"/>
    <n v="2"/>
    <s v="Medical"/>
    <n v="1"/>
    <n v="379"/>
    <n v="4"/>
    <s v="Male"/>
    <n v="100"/>
    <n v="2"/>
    <n v="1"/>
    <s v="Research Scientist"/>
    <x v="2"/>
    <s v="Single"/>
    <x v="268"/>
    <n v="10531"/>
    <n v="1"/>
    <s v="Y"/>
    <s v="No"/>
    <n v="17"/>
    <n v="3"/>
    <n v="1"/>
    <n v="80"/>
    <n v="0"/>
    <n v="3"/>
    <n v="4"/>
    <n v="4"/>
    <n v="3"/>
    <n v="2"/>
    <n v="1"/>
    <n v="0"/>
    <s v="3-5 yrs"/>
  </r>
  <r>
    <n v="37"/>
    <x v="1"/>
    <s v="Non-Travel"/>
    <n v="728"/>
    <x v="1"/>
    <n v="1"/>
    <n v="4"/>
    <s v="Medical"/>
    <n v="1"/>
    <n v="380"/>
    <n v="1"/>
    <s v="Female"/>
    <n v="80"/>
    <n v="3"/>
    <n v="3"/>
    <s v="Research Director"/>
    <x v="0"/>
    <s v="Divorced"/>
    <x v="269"/>
    <n v="11677"/>
    <n v="2"/>
    <s v="Y"/>
    <s v="Yes"/>
    <n v="18"/>
    <n v="3"/>
    <n v="1"/>
    <n v="80"/>
    <n v="2"/>
    <n v="15"/>
    <n v="2"/>
    <n v="3"/>
    <n v="5"/>
    <n v="2"/>
    <n v="0"/>
    <n v="2"/>
    <s v="3-5 yrs"/>
  </r>
  <r>
    <n v="35"/>
    <x v="1"/>
    <s v="Travel_Rarely"/>
    <n v="1315"/>
    <x v="1"/>
    <n v="22"/>
    <n v="3"/>
    <s v="Life Sciences"/>
    <n v="1"/>
    <n v="381"/>
    <n v="2"/>
    <s v="Female"/>
    <n v="71"/>
    <n v="4"/>
    <n v="3"/>
    <s v="Manager"/>
    <x v="1"/>
    <s v="Divorced"/>
    <x v="270"/>
    <n v="19100"/>
    <n v="7"/>
    <s v="Y"/>
    <s v="No"/>
    <n v="18"/>
    <n v="3"/>
    <n v="2"/>
    <n v="80"/>
    <n v="1"/>
    <n v="10"/>
    <n v="6"/>
    <n v="2"/>
    <n v="7"/>
    <n v="7"/>
    <n v="6"/>
    <n v="2"/>
    <s v="5+ yrs"/>
  </r>
  <r>
    <n v="38"/>
    <x v="1"/>
    <s v="Travel_Rarely"/>
    <n v="322"/>
    <x v="0"/>
    <n v="7"/>
    <n v="2"/>
    <s v="Medical"/>
    <n v="1"/>
    <n v="382"/>
    <n v="1"/>
    <s v="Female"/>
    <n v="44"/>
    <n v="4"/>
    <n v="2"/>
    <s v="Sales Executive"/>
    <x v="3"/>
    <s v="Divorced"/>
    <x v="147"/>
    <n v="19191"/>
    <n v="1"/>
    <s v="Y"/>
    <s v="Yes"/>
    <n v="24"/>
    <n v="4"/>
    <n v="3"/>
    <n v="80"/>
    <n v="1"/>
    <n v="8"/>
    <n v="3"/>
    <n v="3"/>
    <n v="8"/>
    <n v="0"/>
    <n v="7"/>
    <n v="7"/>
    <s v="5+ yrs"/>
  </r>
  <r>
    <n v="26"/>
    <x v="1"/>
    <s v="Travel_Frequently"/>
    <n v="1479"/>
    <x v="1"/>
    <n v="1"/>
    <n v="3"/>
    <s v="Life Sciences"/>
    <n v="1"/>
    <n v="384"/>
    <n v="3"/>
    <s v="Female"/>
    <n v="84"/>
    <n v="3"/>
    <n v="2"/>
    <s v="Manufacturing Director"/>
    <x v="1"/>
    <s v="Divorced"/>
    <x v="271"/>
    <n v="26767"/>
    <n v="1"/>
    <s v="Y"/>
    <s v="No"/>
    <n v="20"/>
    <n v="4"/>
    <n v="1"/>
    <n v="80"/>
    <n v="1"/>
    <n v="6"/>
    <n v="6"/>
    <n v="1"/>
    <n v="6"/>
    <n v="5"/>
    <n v="1"/>
    <n v="4"/>
    <s v="5+ yrs"/>
  </r>
  <r>
    <n v="50"/>
    <x v="1"/>
    <s v="Travel_Rarely"/>
    <n v="797"/>
    <x v="1"/>
    <n v="4"/>
    <n v="1"/>
    <s v="Life Sciences"/>
    <n v="1"/>
    <n v="385"/>
    <n v="1"/>
    <s v="Male"/>
    <n v="96"/>
    <n v="3"/>
    <n v="5"/>
    <s v="Research Director"/>
    <x v="1"/>
    <s v="Divorced"/>
    <x v="272"/>
    <n v="15815"/>
    <n v="3"/>
    <s v="Y"/>
    <s v="No"/>
    <n v="14"/>
    <n v="3"/>
    <n v="1"/>
    <n v="80"/>
    <n v="2"/>
    <n v="28"/>
    <n v="4"/>
    <n v="2"/>
    <n v="10"/>
    <n v="4"/>
    <n v="1"/>
    <n v="6"/>
    <s v="5+ yrs"/>
  </r>
  <r>
    <n v="53"/>
    <x v="1"/>
    <s v="Travel_Rarely"/>
    <n v="1070"/>
    <x v="1"/>
    <n v="3"/>
    <n v="4"/>
    <s v="Medical"/>
    <n v="1"/>
    <n v="386"/>
    <n v="3"/>
    <s v="Male"/>
    <n v="45"/>
    <n v="3"/>
    <n v="4"/>
    <s v="Research Director"/>
    <x v="2"/>
    <s v="Married"/>
    <x v="273"/>
    <n v="21016"/>
    <n v="3"/>
    <s v="Y"/>
    <s v="Yes"/>
    <n v="16"/>
    <n v="3"/>
    <n v="4"/>
    <n v="80"/>
    <n v="3"/>
    <n v="21"/>
    <n v="5"/>
    <n v="2"/>
    <n v="5"/>
    <n v="3"/>
    <n v="1"/>
    <n v="3"/>
    <s v="3-5 yrs"/>
  </r>
  <r>
    <n v="42"/>
    <x v="1"/>
    <s v="Travel_Rarely"/>
    <n v="635"/>
    <x v="0"/>
    <n v="1"/>
    <n v="1"/>
    <s v="Life Sciences"/>
    <n v="1"/>
    <n v="387"/>
    <n v="2"/>
    <s v="Male"/>
    <n v="99"/>
    <n v="3"/>
    <n v="2"/>
    <s v="Sales Executive"/>
    <x v="2"/>
    <s v="Married"/>
    <x v="274"/>
    <n v="24532"/>
    <n v="1"/>
    <s v="Y"/>
    <s v="No"/>
    <n v="25"/>
    <n v="4"/>
    <n v="3"/>
    <n v="80"/>
    <n v="0"/>
    <n v="20"/>
    <n v="3"/>
    <n v="3"/>
    <n v="20"/>
    <n v="16"/>
    <n v="11"/>
    <n v="6"/>
    <s v="5+ yrs"/>
  </r>
  <r>
    <n v="29"/>
    <x v="1"/>
    <s v="Travel_Frequently"/>
    <n v="442"/>
    <x v="0"/>
    <n v="2"/>
    <n v="2"/>
    <s v="Life Sciences"/>
    <n v="1"/>
    <n v="388"/>
    <n v="2"/>
    <s v="Male"/>
    <n v="44"/>
    <n v="3"/>
    <n v="2"/>
    <s v="Sales Executive"/>
    <x v="0"/>
    <s v="Single"/>
    <x v="275"/>
    <n v="20260"/>
    <n v="1"/>
    <s v="Y"/>
    <s v="No"/>
    <n v="18"/>
    <n v="3"/>
    <n v="1"/>
    <n v="80"/>
    <n v="0"/>
    <n v="10"/>
    <n v="3"/>
    <n v="2"/>
    <n v="10"/>
    <n v="7"/>
    <n v="0"/>
    <n v="9"/>
    <s v="5+ yrs"/>
  </r>
  <r>
    <n v="55"/>
    <x v="1"/>
    <s v="Travel_Rarely"/>
    <n v="147"/>
    <x v="1"/>
    <n v="20"/>
    <n v="2"/>
    <s v="Technical Degree"/>
    <n v="1"/>
    <n v="389"/>
    <n v="2"/>
    <s v="Male"/>
    <n v="37"/>
    <n v="3"/>
    <n v="2"/>
    <s v="Laboratory Technician"/>
    <x v="0"/>
    <s v="Married"/>
    <x v="276"/>
    <n v="15972"/>
    <n v="3"/>
    <s v="Y"/>
    <s v="Yes"/>
    <n v="19"/>
    <n v="3"/>
    <n v="4"/>
    <n v="80"/>
    <n v="1"/>
    <n v="12"/>
    <n v="4"/>
    <n v="3"/>
    <n v="10"/>
    <n v="7"/>
    <n v="0"/>
    <n v="8"/>
    <s v="5+ yrs"/>
  </r>
  <r>
    <n v="26"/>
    <x v="1"/>
    <s v="Travel_Frequently"/>
    <n v="496"/>
    <x v="1"/>
    <n v="11"/>
    <n v="2"/>
    <s v="Medical"/>
    <n v="1"/>
    <n v="390"/>
    <n v="1"/>
    <s v="Male"/>
    <n v="60"/>
    <n v="3"/>
    <n v="2"/>
    <s v="Healthcare Representative"/>
    <x v="3"/>
    <s v="Married"/>
    <x v="277"/>
    <n v="22722"/>
    <n v="1"/>
    <s v="Y"/>
    <s v="Yes"/>
    <n v="13"/>
    <n v="3"/>
    <n v="3"/>
    <n v="80"/>
    <n v="1"/>
    <n v="5"/>
    <n v="3"/>
    <n v="3"/>
    <n v="5"/>
    <n v="3"/>
    <n v="3"/>
    <n v="3"/>
    <s v="3-5 yrs"/>
  </r>
  <r>
    <n v="37"/>
    <x v="1"/>
    <s v="Travel_Rarely"/>
    <n v="1372"/>
    <x v="1"/>
    <n v="1"/>
    <n v="3"/>
    <s v="Life Sciences"/>
    <n v="1"/>
    <n v="391"/>
    <n v="4"/>
    <s v="Female"/>
    <n v="42"/>
    <n v="3"/>
    <n v="1"/>
    <s v="Research Scientist"/>
    <x v="0"/>
    <s v="Single"/>
    <x v="278"/>
    <n v="15881"/>
    <n v="1"/>
    <s v="Y"/>
    <s v="No"/>
    <n v="12"/>
    <n v="3"/>
    <n v="2"/>
    <n v="80"/>
    <n v="0"/>
    <n v="17"/>
    <n v="3"/>
    <n v="3"/>
    <n v="17"/>
    <n v="12"/>
    <n v="5"/>
    <n v="7"/>
    <s v="5+ yrs"/>
  </r>
  <r>
    <n v="44"/>
    <x v="0"/>
    <s v="Travel_Frequently"/>
    <n v="920"/>
    <x v="1"/>
    <n v="24"/>
    <n v="3"/>
    <s v="Life Sciences"/>
    <n v="1"/>
    <n v="392"/>
    <n v="4"/>
    <s v="Male"/>
    <n v="43"/>
    <n v="3"/>
    <n v="1"/>
    <s v="Laboratory Technician"/>
    <x v="2"/>
    <s v="Divorced"/>
    <x v="279"/>
    <n v="19920"/>
    <n v="3"/>
    <s v="Y"/>
    <s v="Yes"/>
    <n v="22"/>
    <n v="4"/>
    <n v="4"/>
    <n v="80"/>
    <n v="1"/>
    <n v="19"/>
    <n v="0"/>
    <n v="1"/>
    <n v="1"/>
    <n v="0"/>
    <n v="0"/>
    <n v="0"/>
    <s v="0-2 yrs"/>
  </r>
  <r>
    <n v="38"/>
    <x v="1"/>
    <s v="Travel_Rarely"/>
    <n v="688"/>
    <x v="1"/>
    <n v="23"/>
    <n v="4"/>
    <s v="Life Sciences"/>
    <n v="1"/>
    <n v="393"/>
    <n v="4"/>
    <s v="Male"/>
    <n v="82"/>
    <n v="3"/>
    <n v="2"/>
    <s v="Healthcare Representative"/>
    <x v="0"/>
    <s v="Divorced"/>
    <x v="280"/>
    <n v="18899"/>
    <n v="9"/>
    <s v="Y"/>
    <s v="No"/>
    <n v="14"/>
    <n v="3"/>
    <n v="2"/>
    <n v="80"/>
    <n v="1"/>
    <n v="10"/>
    <n v="2"/>
    <n v="3"/>
    <n v="2"/>
    <n v="2"/>
    <n v="1"/>
    <n v="2"/>
    <s v="0-2 yrs"/>
  </r>
  <r>
    <n v="26"/>
    <x v="0"/>
    <s v="Travel_Rarely"/>
    <n v="1449"/>
    <x v="1"/>
    <n v="16"/>
    <n v="4"/>
    <s v="Medical"/>
    <n v="1"/>
    <n v="394"/>
    <n v="1"/>
    <s v="Male"/>
    <n v="45"/>
    <n v="3"/>
    <n v="1"/>
    <s v="Laboratory Technician"/>
    <x v="1"/>
    <s v="Divorced"/>
    <x v="281"/>
    <n v="14180"/>
    <n v="2"/>
    <s v="Y"/>
    <s v="Yes"/>
    <n v="13"/>
    <n v="3"/>
    <n v="4"/>
    <n v="80"/>
    <n v="1"/>
    <n v="5"/>
    <n v="2"/>
    <n v="3"/>
    <n v="3"/>
    <n v="2"/>
    <n v="0"/>
    <n v="2"/>
    <s v="3-5 yrs"/>
  </r>
  <r>
    <n v="28"/>
    <x v="1"/>
    <s v="Travel_Rarely"/>
    <n v="1117"/>
    <x v="1"/>
    <n v="8"/>
    <n v="2"/>
    <s v="Life Sciences"/>
    <n v="1"/>
    <n v="395"/>
    <n v="4"/>
    <s v="Female"/>
    <n v="66"/>
    <n v="3"/>
    <n v="1"/>
    <s v="Research Scientist"/>
    <x v="0"/>
    <s v="Single"/>
    <x v="282"/>
    <n v="4488"/>
    <n v="1"/>
    <s v="Y"/>
    <s v="No"/>
    <n v="21"/>
    <n v="4"/>
    <n v="4"/>
    <n v="80"/>
    <n v="0"/>
    <n v="5"/>
    <n v="3"/>
    <n v="3"/>
    <n v="5"/>
    <n v="3"/>
    <n v="0"/>
    <n v="2"/>
    <s v="3-5 yrs"/>
  </r>
  <r>
    <n v="49"/>
    <x v="1"/>
    <s v="Travel_Frequently"/>
    <n v="636"/>
    <x v="1"/>
    <n v="10"/>
    <n v="4"/>
    <s v="Life Sciences"/>
    <n v="1"/>
    <n v="396"/>
    <n v="3"/>
    <s v="Female"/>
    <n v="35"/>
    <n v="3"/>
    <n v="5"/>
    <s v="Research Director"/>
    <x v="3"/>
    <s v="Single"/>
    <x v="283"/>
    <n v="25594"/>
    <n v="9"/>
    <s v="Y"/>
    <s v="Yes"/>
    <n v="11"/>
    <n v="3"/>
    <n v="4"/>
    <n v="80"/>
    <n v="0"/>
    <n v="22"/>
    <n v="4"/>
    <n v="3"/>
    <n v="3"/>
    <n v="2"/>
    <n v="1"/>
    <n v="2"/>
    <s v="3-5 yrs"/>
  </r>
  <r>
    <n v="36"/>
    <x v="1"/>
    <s v="Travel_Rarely"/>
    <n v="506"/>
    <x v="1"/>
    <n v="3"/>
    <n v="3"/>
    <s v="Technical Degree"/>
    <n v="1"/>
    <n v="397"/>
    <n v="3"/>
    <s v="Male"/>
    <n v="30"/>
    <n v="3"/>
    <n v="2"/>
    <s v="Research Scientist"/>
    <x v="1"/>
    <s v="Single"/>
    <x v="284"/>
    <n v="26285"/>
    <n v="4"/>
    <s v="Y"/>
    <s v="No"/>
    <n v="12"/>
    <n v="3"/>
    <n v="4"/>
    <n v="80"/>
    <n v="0"/>
    <n v="10"/>
    <n v="2"/>
    <n v="3"/>
    <n v="8"/>
    <n v="0"/>
    <n v="7"/>
    <n v="7"/>
    <s v="5+ yrs"/>
  </r>
  <r>
    <n v="31"/>
    <x v="1"/>
    <s v="Travel_Frequently"/>
    <n v="444"/>
    <x v="0"/>
    <n v="5"/>
    <n v="3"/>
    <s v="Marketing"/>
    <n v="1"/>
    <n v="399"/>
    <n v="4"/>
    <s v="Female"/>
    <n v="84"/>
    <n v="3"/>
    <n v="1"/>
    <s v="Sales Representative"/>
    <x v="1"/>
    <s v="Divorced"/>
    <x v="285"/>
    <n v="3909"/>
    <n v="1"/>
    <s v="Y"/>
    <s v="No"/>
    <n v="11"/>
    <n v="3"/>
    <n v="3"/>
    <n v="80"/>
    <n v="1"/>
    <n v="2"/>
    <n v="5"/>
    <n v="2"/>
    <n v="2"/>
    <n v="2"/>
    <n v="2"/>
    <n v="2"/>
    <s v="0-2 yrs"/>
  </r>
  <r>
    <n v="26"/>
    <x v="0"/>
    <s v="Travel_Rarely"/>
    <n v="950"/>
    <x v="0"/>
    <n v="4"/>
    <n v="4"/>
    <s v="Marketing"/>
    <n v="1"/>
    <n v="401"/>
    <n v="4"/>
    <s v="Male"/>
    <n v="48"/>
    <n v="2"/>
    <n v="2"/>
    <s v="Sales Executive"/>
    <x v="0"/>
    <s v="Single"/>
    <x v="286"/>
    <n v="8450"/>
    <n v="1"/>
    <s v="Y"/>
    <s v="Yes"/>
    <n v="12"/>
    <n v="3"/>
    <n v="2"/>
    <n v="80"/>
    <n v="0"/>
    <n v="8"/>
    <n v="0"/>
    <n v="3"/>
    <n v="8"/>
    <n v="7"/>
    <n v="7"/>
    <n v="4"/>
    <s v="5+ yrs"/>
  </r>
  <r>
    <n v="37"/>
    <x v="1"/>
    <s v="Travel_Frequently"/>
    <n v="889"/>
    <x v="1"/>
    <n v="9"/>
    <n v="3"/>
    <s v="Medical"/>
    <n v="1"/>
    <n v="403"/>
    <n v="2"/>
    <s v="Male"/>
    <n v="53"/>
    <n v="3"/>
    <n v="1"/>
    <s v="Research Scientist"/>
    <x v="0"/>
    <s v="Married"/>
    <x v="287"/>
    <n v="11411"/>
    <n v="1"/>
    <s v="Y"/>
    <s v="Yes"/>
    <n v="12"/>
    <n v="3"/>
    <n v="3"/>
    <n v="80"/>
    <n v="3"/>
    <n v="4"/>
    <n v="3"/>
    <n v="2"/>
    <n v="4"/>
    <n v="2"/>
    <n v="1"/>
    <n v="2"/>
    <s v="3-5 yrs"/>
  </r>
  <r>
    <n v="42"/>
    <x v="1"/>
    <s v="Travel_Frequently"/>
    <n v="555"/>
    <x v="0"/>
    <n v="26"/>
    <n v="3"/>
    <s v="Marketing"/>
    <n v="1"/>
    <n v="404"/>
    <n v="3"/>
    <s v="Female"/>
    <n v="77"/>
    <n v="3"/>
    <n v="4"/>
    <s v="Sales Executive"/>
    <x v="1"/>
    <s v="Married"/>
    <x v="288"/>
    <n v="14864"/>
    <n v="5"/>
    <s v="Y"/>
    <s v="No"/>
    <n v="14"/>
    <n v="3"/>
    <n v="4"/>
    <n v="80"/>
    <n v="1"/>
    <n v="23"/>
    <n v="2"/>
    <n v="4"/>
    <n v="20"/>
    <n v="4"/>
    <n v="4"/>
    <n v="8"/>
    <s v="5+ yrs"/>
  </r>
  <r>
    <n v="18"/>
    <x v="0"/>
    <s v="Travel_Rarely"/>
    <n v="230"/>
    <x v="1"/>
    <n v="3"/>
    <n v="3"/>
    <s v="Life Sciences"/>
    <n v="1"/>
    <n v="405"/>
    <n v="3"/>
    <s v="Male"/>
    <n v="54"/>
    <n v="3"/>
    <n v="1"/>
    <s v="Laboratory Technician"/>
    <x v="2"/>
    <s v="Single"/>
    <x v="289"/>
    <n v="25233"/>
    <n v="1"/>
    <s v="Y"/>
    <s v="No"/>
    <n v="13"/>
    <n v="3"/>
    <n v="3"/>
    <n v="80"/>
    <n v="0"/>
    <n v="0"/>
    <n v="2"/>
    <n v="3"/>
    <n v="0"/>
    <n v="0"/>
    <n v="0"/>
    <n v="0"/>
    <s v="0-2 yrs"/>
  </r>
  <r>
    <n v="35"/>
    <x v="1"/>
    <s v="Travel_Rarely"/>
    <n v="1232"/>
    <x v="0"/>
    <n v="16"/>
    <n v="3"/>
    <s v="Marketing"/>
    <n v="1"/>
    <n v="406"/>
    <n v="3"/>
    <s v="Male"/>
    <n v="96"/>
    <n v="3"/>
    <n v="3"/>
    <s v="Sales Executive"/>
    <x v="1"/>
    <s v="Married"/>
    <x v="290"/>
    <n v="5100"/>
    <n v="0"/>
    <s v="Y"/>
    <s v="No"/>
    <n v="15"/>
    <n v="3"/>
    <n v="3"/>
    <n v="80"/>
    <n v="2"/>
    <n v="12"/>
    <n v="3"/>
    <n v="2"/>
    <n v="11"/>
    <n v="9"/>
    <n v="6"/>
    <n v="9"/>
    <s v="5+ yrs"/>
  </r>
  <r>
    <n v="36"/>
    <x v="1"/>
    <s v="Travel_Frequently"/>
    <n v="566"/>
    <x v="1"/>
    <n v="18"/>
    <n v="4"/>
    <s v="Life Sciences"/>
    <n v="1"/>
    <n v="407"/>
    <n v="3"/>
    <s v="Male"/>
    <n v="81"/>
    <n v="4"/>
    <n v="1"/>
    <s v="Laboratory Technician"/>
    <x v="0"/>
    <s v="Married"/>
    <x v="291"/>
    <n v="7122"/>
    <n v="4"/>
    <s v="Y"/>
    <s v="No"/>
    <n v="18"/>
    <n v="3"/>
    <n v="4"/>
    <n v="80"/>
    <n v="2"/>
    <n v="4"/>
    <n v="2"/>
    <n v="3"/>
    <n v="1"/>
    <n v="0"/>
    <n v="0"/>
    <n v="0"/>
    <s v="0-2 yrs"/>
  </r>
  <r>
    <n v="51"/>
    <x v="1"/>
    <s v="Travel_Rarely"/>
    <n v="1302"/>
    <x v="1"/>
    <n v="2"/>
    <n v="3"/>
    <s v="Medical"/>
    <n v="1"/>
    <n v="408"/>
    <n v="4"/>
    <s v="Male"/>
    <n v="84"/>
    <n v="1"/>
    <n v="2"/>
    <s v="Manufacturing Director"/>
    <x v="1"/>
    <s v="Divorced"/>
    <x v="292"/>
    <n v="16321"/>
    <n v="5"/>
    <s v="Y"/>
    <s v="No"/>
    <n v="18"/>
    <n v="3"/>
    <n v="4"/>
    <n v="80"/>
    <n v="1"/>
    <n v="13"/>
    <n v="3"/>
    <n v="3"/>
    <n v="4"/>
    <n v="1"/>
    <n v="1"/>
    <n v="2"/>
    <s v="3-5 yrs"/>
  </r>
  <r>
    <n v="41"/>
    <x v="1"/>
    <s v="Travel_Rarely"/>
    <n v="334"/>
    <x v="0"/>
    <n v="2"/>
    <n v="4"/>
    <s v="Life Sciences"/>
    <n v="1"/>
    <n v="410"/>
    <n v="4"/>
    <s v="Male"/>
    <n v="88"/>
    <n v="3"/>
    <n v="4"/>
    <s v="Manager"/>
    <x v="1"/>
    <s v="Single"/>
    <x v="293"/>
    <n v="15896"/>
    <n v="1"/>
    <s v="Y"/>
    <s v="No"/>
    <n v="19"/>
    <n v="3"/>
    <n v="2"/>
    <n v="80"/>
    <n v="0"/>
    <n v="22"/>
    <n v="2"/>
    <n v="3"/>
    <n v="22"/>
    <n v="10"/>
    <n v="0"/>
    <n v="4"/>
    <s v="5+ yrs"/>
  </r>
  <r>
    <n v="18"/>
    <x v="1"/>
    <s v="Travel_Rarely"/>
    <n v="812"/>
    <x v="0"/>
    <n v="10"/>
    <n v="3"/>
    <s v="Medical"/>
    <n v="1"/>
    <n v="411"/>
    <n v="4"/>
    <s v="Female"/>
    <n v="69"/>
    <n v="2"/>
    <n v="1"/>
    <s v="Sales Representative"/>
    <x v="2"/>
    <s v="Single"/>
    <x v="294"/>
    <n v="9724"/>
    <n v="1"/>
    <s v="Y"/>
    <s v="No"/>
    <n v="12"/>
    <n v="3"/>
    <n v="1"/>
    <n v="80"/>
    <n v="0"/>
    <n v="0"/>
    <n v="2"/>
    <n v="3"/>
    <n v="0"/>
    <n v="0"/>
    <n v="0"/>
    <n v="0"/>
    <s v="0-2 yrs"/>
  </r>
  <r>
    <n v="28"/>
    <x v="1"/>
    <s v="Travel_Rarely"/>
    <n v="1476"/>
    <x v="1"/>
    <n v="16"/>
    <n v="2"/>
    <s v="Medical"/>
    <n v="1"/>
    <n v="412"/>
    <n v="2"/>
    <s v="Male"/>
    <n v="68"/>
    <n v="4"/>
    <n v="2"/>
    <s v="Healthcare Representative"/>
    <x v="3"/>
    <s v="Single"/>
    <x v="295"/>
    <n v="4824"/>
    <n v="0"/>
    <s v="Y"/>
    <s v="No"/>
    <n v="19"/>
    <n v="3"/>
    <n v="3"/>
    <n v="80"/>
    <n v="0"/>
    <n v="9"/>
    <n v="2"/>
    <n v="3"/>
    <n v="8"/>
    <n v="3"/>
    <n v="0"/>
    <n v="7"/>
    <s v="5+ yrs"/>
  </r>
  <r>
    <n v="31"/>
    <x v="1"/>
    <s v="Travel_Rarely"/>
    <n v="218"/>
    <x v="0"/>
    <n v="7"/>
    <n v="3"/>
    <s v="Technical Degree"/>
    <n v="1"/>
    <n v="416"/>
    <n v="2"/>
    <s v="Male"/>
    <n v="100"/>
    <n v="4"/>
    <n v="2"/>
    <s v="Sales Executive"/>
    <x v="0"/>
    <s v="Married"/>
    <x v="296"/>
    <n v="12241"/>
    <n v="4"/>
    <s v="Y"/>
    <s v="No"/>
    <n v="11"/>
    <n v="3"/>
    <n v="2"/>
    <n v="80"/>
    <n v="1"/>
    <n v="10"/>
    <n v="3"/>
    <n v="2"/>
    <n v="8"/>
    <n v="7"/>
    <n v="7"/>
    <n v="7"/>
    <s v="5+ yrs"/>
  </r>
  <r>
    <n v="39"/>
    <x v="1"/>
    <s v="Travel_Rarely"/>
    <n v="1132"/>
    <x v="1"/>
    <n v="1"/>
    <n v="3"/>
    <s v="Medical"/>
    <n v="1"/>
    <n v="417"/>
    <n v="3"/>
    <s v="Male"/>
    <n v="48"/>
    <n v="4"/>
    <n v="3"/>
    <s v="Healthcare Representative"/>
    <x v="0"/>
    <s v="Divorced"/>
    <x v="297"/>
    <n v="10942"/>
    <n v="0"/>
    <s v="Y"/>
    <s v="No"/>
    <n v="17"/>
    <n v="3"/>
    <n v="1"/>
    <n v="80"/>
    <n v="3"/>
    <n v="19"/>
    <n v="5"/>
    <n v="2"/>
    <n v="18"/>
    <n v="10"/>
    <n v="3"/>
    <n v="7"/>
    <s v="5+ yrs"/>
  </r>
  <r>
    <n v="36"/>
    <x v="1"/>
    <s v="Non-Travel"/>
    <n v="1105"/>
    <x v="1"/>
    <n v="24"/>
    <n v="4"/>
    <s v="Life Sciences"/>
    <n v="1"/>
    <n v="419"/>
    <n v="2"/>
    <s v="Female"/>
    <n v="47"/>
    <n v="3"/>
    <n v="2"/>
    <s v="Laboratory Technician"/>
    <x v="1"/>
    <s v="Married"/>
    <x v="298"/>
    <n v="6927"/>
    <n v="7"/>
    <s v="Y"/>
    <s v="No"/>
    <n v="15"/>
    <n v="3"/>
    <n v="3"/>
    <n v="80"/>
    <n v="1"/>
    <n v="11"/>
    <n v="3"/>
    <n v="3"/>
    <n v="9"/>
    <n v="8"/>
    <n v="0"/>
    <n v="8"/>
    <s v="5+ yrs"/>
  </r>
  <r>
    <n v="32"/>
    <x v="1"/>
    <s v="Travel_Rarely"/>
    <n v="906"/>
    <x v="0"/>
    <n v="7"/>
    <n v="3"/>
    <s v="Life Sciences"/>
    <n v="1"/>
    <n v="420"/>
    <n v="4"/>
    <s v="Male"/>
    <n v="91"/>
    <n v="2"/>
    <n v="2"/>
    <s v="Sales Executive"/>
    <x v="2"/>
    <s v="Married"/>
    <x v="299"/>
    <n v="16985"/>
    <n v="1"/>
    <s v="Y"/>
    <s v="No"/>
    <n v="14"/>
    <n v="3"/>
    <n v="3"/>
    <n v="80"/>
    <n v="1"/>
    <n v="13"/>
    <n v="3"/>
    <n v="2"/>
    <n v="13"/>
    <n v="8"/>
    <n v="4"/>
    <n v="8"/>
    <s v="5+ yrs"/>
  </r>
  <r>
    <n v="38"/>
    <x v="1"/>
    <s v="Travel_Rarely"/>
    <n v="849"/>
    <x v="1"/>
    <n v="25"/>
    <n v="2"/>
    <s v="Life Sciences"/>
    <n v="1"/>
    <n v="421"/>
    <n v="1"/>
    <s v="Female"/>
    <n v="81"/>
    <n v="2"/>
    <n v="3"/>
    <s v="Research Director"/>
    <x v="1"/>
    <s v="Married"/>
    <x v="300"/>
    <n v="26707"/>
    <n v="3"/>
    <s v="Y"/>
    <s v="No"/>
    <n v="17"/>
    <n v="3"/>
    <n v="3"/>
    <n v="80"/>
    <n v="1"/>
    <n v="19"/>
    <n v="2"/>
    <n v="3"/>
    <n v="10"/>
    <n v="8"/>
    <n v="0"/>
    <n v="1"/>
    <s v="5+ yrs"/>
  </r>
  <r>
    <n v="58"/>
    <x v="1"/>
    <s v="Non-Travel"/>
    <n v="390"/>
    <x v="1"/>
    <n v="1"/>
    <n v="4"/>
    <s v="Life Sciences"/>
    <n v="1"/>
    <n v="422"/>
    <n v="4"/>
    <s v="Male"/>
    <n v="32"/>
    <n v="1"/>
    <n v="2"/>
    <s v="Healthcare Representative"/>
    <x v="2"/>
    <s v="Divorced"/>
    <x v="301"/>
    <n v="17056"/>
    <n v="2"/>
    <s v="Y"/>
    <s v="Yes"/>
    <n v="13"/>
    <n v="3"/>
    <n v="4"/>
    <n v="80"/>
    <n v="1"/>
    <n v="12"/>
    <n v="2"/>
    <n v="3"/>
    <n v="5"/>
    <n v="3"/>
    <n v="1"/>
    <n v="2"/>
    <s v="3-5 yrs"/>
  </r>
  <r>
    <n v="31"/>
    <x v="1"/>
    <s v="Travel_Rarely"/>
    <n v="691"/>
    <x v="1"/>
    <n v="5"/>
    <n v="4"/>
    <s v="Technical Degree"/>
    <n v="1"/>
    <n v="423"/>
    <n v="3"/>
    <s v="Male"/>
    <n v="86"/>
    <n v="3"/>
    <n v="1"/>
    <s v="Research Scientist"/>
    <x v="0"/>
    <s v="Married"/>
    <x v="302"/>
    <n v="10077"/>
    <n v="0"/>
    <s v="Y"/>
    <s v="Yes"/>
    <n v="12"/>
    <n v="3"/>
    <n v="3"/>
    <n v="80"/>
    <n v="1"/>
    <n v="6"/>
    <n v="4"/>
    <n v="3"/>
    <n v="5"/>
    <n v="2"/>
    <n v="0"/>
    <n v="3"/>
    <s v="3-5 yrs"/>
  </r>
  <r>
    <n v="31"/>
    <x v="1"/>
    <s v="Travel_Rarely"/>
    <n v="106"/>
    <x v="2"/>
    <n v="2"/>
    <n v="3"/>
    <s v="Human Resources"/>
    <n v="1"/>
    <n v="424"/>
    <n v="1"/>
    <s v="Male"/>
    <n v="62"/>
    <n v="2"/>
    <n v="2"/>
    <s v="Human Resources"/>
    <x v="3"/>
    <s v="Married"/>
    <x v="303"/>
    <n v="17822"/>
    <n v="3"/>
    <s v="Y"/>
    <s v="No"/>
    <n v="12"/>
    <n v="3"/>
    <n v="4"/>
    <n v="80"/>
    <n v="0"/>
    <n v="9"/>
    <n v="1"/>
    <n v="3"/>
    <n v="2"/>
    <n v="2"/>
    <n v="1"/>
    <n v="0"/>
    <s v="0-2 yrs"/>
  </r>
  <r>
    <n v="45"/>
    <x v="1"/>
    <s v="Travel_Frequently"/>
    <n v="1249"/>
    <x v="1"/>
    <n v="7"/>
    <n v="3"/>
    <s v="Life Sciences"/>
    <n v="1"/>
    <n v="425"/>
    <n v="1"/>
    <s v="Male"/>
    <n v="97"/>
    <n v="3"/>
    <n v="3"/>
    <s v="Laboratory Technician"/>
    <x v="3"/>
    <s v="Divorced"/>
    <x v="304"/>
    <n v="20308"/>
    <n v="1"/>
    <s v="Y"/>
    <s v="No"/>
    <n v="18"/>
    <n v="3"/>
    <n v="1"/>
    <n v="80"/>
    <n v="1"/>
    <n v="24"/>
    <n v="2"/>
    <n v="3"/>
    <n v="24"/>
    <n v="9"/>
    <n v="9"/>
    <n v="11"/>
    <s v="5+ yrs"/>
  </r>
  <r>
    <n v="31"/>
    <x v="1"/>
    <s v="Travel_Rarely"/>
    <n v="192"/>
    <x v="1"/>
    <n v="2"/>
    <n v="4"/>
    <s v="Life Sciences"/>
    <n v="1"/>
    <n v="426"/>
    <n v="3"/>
    <s v="Male"/>
    <n v="32"/>
    <n v="3"/>
    <n v="1"/>
    <s v="Research Scientist"/>
    <x v="0"/>
    <s v="Divorced"/>
    <x v="305"/>
    <n v="7747"/>
    <n v="0"/>
    <s v="Y"/>
    <s v="Yes"/>
    <n v="18"/>
    <n v="3"/>
    <n v="2"/>
    <n v="80"/>
    <n v="1"/>
    <n v="3"/>
    <n v="2"/>
    <n v="1"/>
    <n v="2"/>
    <n v="2"/>
    <n v="2"/>
    <n v="2"/>
    <s v="0-2 yrs"/>
  </r>
  <r>
    <n v="33"/>
    <x v="1"/>
    <s v="Travel_Frequently"/>
    <n v="553"/>
    <x v="1"/>
    <n v="5"/>
    <n v="4"/>
    <s v="Life Sciences"/>
    <n v="1"/>
    <n v="428"/>
    <n v="4"/>
    <s v="Female"/>
    <n v="74"/>
    <n v="3"/>
    <n v="3"/>
    <s v="Manager"/>
    <x v="1"/>
    <s v="Married"/>
    <x v="306"/>
    <n v="23364"/>
    <n v="6"/>
    <s v="Y"/>
    <s v="No"/>
    <n v="11"/>
    <n v="3"/>
    <n v="2"/>
    <n v="80"/>
    <n v="2"/>
    <n v="12"/>
    <n v="2"/>
    <n v="3"/>
    <n v="10"/>
    <n v="6"/>
    <n v="8"/>
    <n v="8"/>
    <s v="5+ yrs"/>
  </r>
  <r>
    <n v="39"/>
    <x v="1"/>
    <s v="Travel_Rarely"/>
    <n v="117"/>
    <x v="1"/>
    <n v="10"/>
    <n v="1"/>
    <s v="Medical"/>
    <n v="1"/>
    <n v="429"/>
    <n v="3"/>
    <s v="Male"/>
    <n v="99"/>
    <n v="3"/>
    <n v="4"/>
    <s v="Manager"/>
    <x v="3"/>
    <s v="Married"/>
    <x v="307"/>
    <n v="5355"/>
    <n v="1"/>
    <s v="Y"/>
    <s v="Yes"/>
    <n v="14"/>
    <n v="3"/>
    <n v="4"/>
    <n v="80"/>
    <n v="0"/>
    <n v="21"/>
    <n v="3"/>
    <n v="3"/>
    <n v="21"/>
    <n v="9"/>
    <n v="11"/>
    <n v="10"/>
    <s v="5+ yrs"/>
  </r>
  <r>
    <n v="43"/>
    <x v="1"/>
    <s v="Travel_Frequently"/>
    <n v="185"/>
    <x v="1"/>
    <n v="10"/>
    <n v="4"/>
    <s v="Life Sciences"/>
    <n v="1"/>
    <n v="430"/>
    <n v="3"/>
    <s v="Female"/>
    <n v="33"/>
    <n v="3"/>
    <n v="1"/>
    <s v="Laboratory Technician"/>
    <x v="0"/>
    <s v="Single"/>
    <x v="308"/>
    <n v="10675"/>
    <n v="0"/>
    <s v="Y"/>
    <s v="No"/>
    <n v="19"/>
    <n v="3"/>
    <n v="1"/>
    <n v="80"/>
    <n v="0"/>
    <n v="9"/>
    <n v="5"/>
    <n v="3"/>
    <n v="8"/>
    <n v="7"/>
    <n v="1"/>
    <n v="7"/>
    <s v="5+ yrs"/>
  </r>
  <r>
    <n v="49"/>
    <x v="1"/>
    <s v="Travel_Rarely"/>
    <n v="1091"/>
    <x v="1"/>
    <n v="1"/>
    <n v="2"/>
    <s v="Technical Degree"/>
    <n v="1"/>
    <n v="431"/>
    <n v="3"/>
    <s v="Female"/>
    <n v="90"/>
    <n v="2"/>
    <n v="4"/>
    <s v="Healthcare Representative"/>
    <x v="2"/>
    <s v="Single"/>
    <x v="309"/>
    <n v="17810"/>
    <n v="7"/>
    <s v="Y"/>
    <s v="Yes"/>
    <n v="12"/>
    <n v="3"/>
    <n v="4"/>
    <n v="80"/>
    <n v="0"/>
    <n v="25"/>
    <n v="2"/>
    <n v="3"/>
    <n v="7"/>
    <n v="1"/>
    <n v="0"/>
    <n v="7"/>
    <s v="5+ yrs"/>
  </r>
  <r>
    <n v="52"/>
    <x v="0"/>
    <s v="Travel_Rarely"/>
    <n v="723"/>
    <x v="1"/>
    <n v="8"/>
    <n v="4"/>
    <s v="Medical"/>
    <n v="1"/>
    <n v="433"/>
    <n v="3"/>
    <s v="Male"/>
    <n v="85"/>
    <n v="2"/>
    <n v="2"/>
    <s v="Research Scientist"/>
    <x v="1"/>
    <s v="Married"/>
    <x v="132"/>
    <n v="17747"/>
    <n v="2"/>
    <s v="Y"/>
    <s v="No"/>
    <n v="15"/>
    <n v="3"/>
    <n v="1"/>
    <n v="80"/>
    <n v="0"/>
    <n v="11"/>
    <n v="3"/>
    <n v="2"/>
    <n v="8"/>
    <n v="2"/>
    <n v="7"/>
    <n v="7"/>
    <s v="5+ yrs"/>
  </r>
  <r>
    <n v="27"/>
    <x v="1"/>
    <s v="Travel_Rarely"/>
    <n v="1220"/>
    <x v="1"/>
    <n v="5"/>
    <n v="3"/>
    <s v="Life Sciences"/>
    <n v="1"/>
    <n v="434"/>
    <n v="3"/>
    <s v="Female"/>
    <n v="85"/>
    <n v="3"/>
    <n v="1"/>
    <s v="Research Scientist"/>
    <x v="1"/>
    <s v="Single"/>
    <x v="310"/>
    <n v="20938"/>
    <n v="1"/>
    <s v="Y"/>
    <s v="Yes"/>
    <n v="12"/>
    <n v="3"/>
    <n v="2"/>
    <n v="80"/>
    <n v="0"/>
    <n v="4"/>
    <n v="2"/>
    <n v="2"/>
    <n v="4"/>
    <n v="3"/>
    <n v="1"/>
    <n v="2"/>
    <s v="3-5 yrs"/>
  </r>
  <r>
    <n v="32"/>
    <x v="1"/>
    <s v="Travel_Rarely"/>
    <n v="588"/>
    <x v="0"/>
    <n v="8"/>
    <n v="2"/>
    <s v="Technical Degree"/>
    <n v="1"/>
    <n v="436"/>
    <n v="3"/>
    <s v="Female"/>
    <n v="65"/>
    <n v="2"/>
    <n v="2"/>
    <s v="Sales Executive"/>
    <x v="1"/>
    <s v="Married"/>
    <x v="311"/>
    <n v="24624"/>
    <n v="1"/>
    <s v="Y"/>
    <s v="Yes"/>
    <n v="11"/>
    <n v="3"/>
    <n v="4"/>
    <n v="80"/>
    <n v="0"/>
    <n v="13"/>
    <n v="2"/>
    <n v="3"/>
    <n v="13"/>
    <n v="12"/>
    <n v="11"/>
    <n v="9"/>
    <s v="5+ yrs"/>
  </r>
  <r>
    <n v="27"/>
    <x v="1"/>
    <s v="Travel_Rarely"/>
    <n v="1377"/>
    <x v="0"/>
    <n v="2"/>
    <n v="3"/>
    <s v="Life Sciences"/>
    <n v="1"/>
    <n v="437"/>
    <n v="4"/>
    <s v="Male"/>
    <n v="74"/>
    <n v="3"/>
    <n v="2"/>
    <s v="Sales Executive"/>
    <x v="2"/>
    <s v="Single"/>
    <x v="312"/>
    <n v="5242"/>
    <n v="1"/>
    <s v="Y"/>
    <s v="Yes"/>
    <n v="11"/>
    <n v="3"/>
    <n v="1"/>
    <n v="80"/>
    <n v="0"/>
    <n v="5"/>
    <n v="3"/>
    <n v="3"/>
    <n v="5"/>
    <n v="4"/>
    <n v="0"/>
    <n v="4"/>
    <s v="3-5 yrs"/>
  </r>
  <r>
    <n v="31"/>
    <x v="1"/>
    <s v="Travel_Rarely"/>
    <n v="691"/>
    <x v="0"/>
    <n v="7"/>
    <n v="3"/>
    <s v="Marketing"/>
    <n v="1"/>
    <n v="438"/>
    <n v="4"/>
    <s v="Male"/>
    <n v="73"/>
    <n v="3"/>
    <n v="2"/>
    <s v="Sales Executive"/>
    <x v="0"/>
    <s v="Divorced"/>
    <x v="313"/>
    <n v="7143"/>
    <n v="4"/>
    <s v="Y"/>
    <s v="No"/>
    <n v="12"/>
    <n v="3"/>
    <n v="4"/>
    <n v="80"/>
    <n v="3"/>
    <n v="13"/>
    <n v="3"/>
    <n v="3"/>
    <n v="7"/>
    <n v="7"/>
    <n v="1"/>
    <n v="7"/>
    <s v="5+ yrs"/>
  </r>
  <r>
    <n v="32"/>
    <x v="1"/>
    <s v="Travel_Rarely"/>
    <n v="1018"/>
    <x v="1"/>
    <n v="2"/>
    <n v="4"/>
    <s v="Medical"/>
    <n v="1"/>
    <n v="439"/>
    <n v="1"/>
    <s v="Female"/>
    <n v="74"/>
    <n v="4"/>
    <n v="2"/>
    <s v="Research Scientist"/>
    <x v="0"/>
    <s v="Single"/>
    <x v="314"/>
    <n v="10557"/>
    <n v="7"/>
    <s v="Y"/>
    <s v="No"/>
    <n v="16"/>
    <n v="3"/>
    <n v="3"/>
    <n v="80"/>
    <n v="0"/>
    <n v="10"/>
    <n v="0"/>
    <n v="2"/>
    <n v="7"/>
    <n v="7"/>
    <n v="0"/>
    <n v="7"/>
    <s v="5+ yrs"/>
  </r>
  <r>
    <n v="28"/>
    <x v="0"/>
    <s v="Travel_Rarely"/>
    <n v="1157"/>
    <x v="1"/>
    <n v="2"/>
    <n v="4"/>
    <s v="Medical"/>
    <n v="1"/>
    <n v="440"/>
    <n v="1"/>
    <s v="Male"/>
    <n v="84"/>
    <n v="1"/>
    <n v="1"/>
    <s v="Research Scientist"/>
    <x v="0"/>
    <s v="Married"/>
    <x v="315"/>
    <n v="24737"/>
    <n v="5"/>
    <s v="Y"/>
    <s v="Yes"/>
    <n v="13"/>
    <n v="3"/>
    <n v="4"/>
    <n v="80"/>
    <n v="0"/>
    <n v="5"/>
    <n v="4"/>
    <n v="2"/>
    <n v="3"/>
    <n v="2"/>
    <n v="2"/>
    <n v="2"/>
    <s v="3-5 yrs"/>
  </r>
  <r>
    <n v="30"/>
    <x v="1"/>
    <s v="Travel_Rarely"/>
    <n v="1275"/>
    <x v="1"/>
    <n v="28"/>
    <n v="2"/>
    <s v="Medical"/>
    <n v="1"/>
    <n v="441"/>
    <n v="4"/>
    <s v="Female"/>
    <n v="64"/>
    <n v="3"/>
    <n v="2"/>
    <s v="Research Scientist"/>
    <x v="0"/>
    <s v="Married"/>
    <x v="316"/>
    <n v="11934"/>
    <n v="1"/>
    <s v="Y"/>
    <s v="No"/>
    <n v="13"/>
    <n v="3"/>
    <n v="4"/>
    <n v="80"/>
    <n v="2"/>
    <n v="11"/>
    <n v="2"/>
    <n v="3"/>
    <n v="10"/>
    <n v="8"/>
    <n v="1"/>
    <n v="9"/>
    <s v="5+ yrs"/>
  </r>
  <r>
    <n v="31"/>
    <x v="1"/>
    <s v="Travel_Frequently"/>
    <n v="798"/>
    <x v="1"/>
    <n v="7"/>
    <n v="2"/>
    <s v="Life Sciences"/>
    <n v="1"/>
    <n v="442"/>
    <n v="3"/>
    <s v="Female"/>
    <n v="48"/>
    <n v="2"/>
    <n v="3"/>
    <s v="Manufacturing Director"/>
    <x v="2"/>
    <s v="Married"/>
    <x v="317"/>
    <n v="14034"/>
    <n v="1"/>
    <s v="Y"/>
    <s v="No"/>
    <n v="24"/>
    <n v="4"/>
    <n v="1"/>
    <n v="80"/>
    <n v="1"/>
    <n v="10"/>
    <n v="2"/>
    <n v="3"/>
    <n v="10"/>
    <n v="9"/>
    <n v="8"/>
    <n v="9"/>
    <s v="5+ yrs"/>
  </r>
  <r>
    <n v="39"/>
    <x v="1"/>
    <s v="Travel_Frequently"/>
    <n v="672"/>
    <x v="1"/>
    <n v="7"/>
    <n v="2"/>
    <s v="Medical"/>
    <n v="1"/>
    <n v="444"/>
    <n v="3"/>
    <s v="Male"/>
    <n v="54"/>
    <n v="2"/>
    <n v="5"/>
    <s v="Manager"/>
    <x v="0"/>
    <s v="Married"/>
    <x v="318"/>
    <n v="21141"/>
    <n v="1"/>
    <s v="Y"/>
    <s v="No"/>
    <n v="15"/>
    <n v="3"/>
    <n v="1"/>
    <n v="80"/>
    <n v="1"/>
    <n v="21"/>
    <n v="2"/>
    <n v="3"/>
    <n v="21"/>
    <n v="9"/>
    <n v="13"/>
    <n v="3"/>
    <s v="5+ yrs"/>
  </r>
  <r>
    <n v="39"/>
    <x v="0"/>
    <s v="Travel_Rarely"/>
    <n v="1162"/>
    <x v="0"/>
    <n v="3"/>
    <n v="2"/>
    <s v="Medical"/>
    <n v="1"/>
    <n v="445"/>
    <n v="4"/>
    <s v="Female"/>
    <n v="41"/>
    <n v="3"/>
    <n v="2"/>
    <s v="Sales Executive"/>
    <x v="2"/>
    <s v="Married"/>
    <x v="319"/>
    <n v="17778"/>
    <n v="4"/>
    <s v="Y"/>
    <s v="Yes"/>
    <n v="18"/>
    <n v="3"/>
    <n v="1"/>
    <n v="80"/>
    <n v="0"/>
    <n v="12"/>
    <n v="3"/>
    <n v="2"/>
    <n v="1"/>
    <n v="0"/>
    <n v="0"/>
    <n v="0"/>
    <s v="0-2 yrs"/>
  </r>
  <r>
    <n v="33"/>
    <x v="1"/>
    <s v="Travel_Frequently"/>
    <n v="508"/>
    <x v="0"/>
    <n v="10"/>
    <n v="3"/>
    <s v="Marketing"/>
    <n v="1"/>
    <n v="446"/>
    <n v="2"/>
    <s v="Male"/>
    <n v="46"/>
    <n v="2"/>
    <n v="2"/>
    <s v="Sales Executive"/>
    <x v="0"/>
    <s v="Single"/>
    <x v="320"/>
    <n v="4317"/>
    <n v="3"/>
    <s v="Y"/>
    <s v="No"/>
    <n v="14"/>
    <n v="3"/>
    <n v="3"/>
    <n v="80"/>
    <n v="0"/>
    <n v="9"/>
    <n v="6"/>
    <n v="2"/>
    <n v="7"/>
    <n v="7"/>
    <n v="0"/>
    <n v="1"/>
    <s v="5+ yrs"/>
  </r>
  <r>
    <n v="47"/>
    <x v="1"/>
    <s v="Travel_Rarely"/>
    <n v="1482"/>
    <x v="1"/>
    <n v="5"/>
    <n v="5"/>
    <s v="Life Sciences"/>
    <n v="1"/>
    <n v="447"/>
    <n v="4"/>
    <s v="Male"/>
    <n v="42"/>
    <n v="3"/>
    <n v="5"/>
    <s v="Research Director"/>
    <x v="2"/>
    <s v="Married"/>
    <x v="321"/>
    <n v="16375"/>
    <n v="4"/>
    <s v="Y"/>
    <s v="No"/>
    <n v="11"/>
    <n v="3"/>
    <n v="2"/>
    <n v="80"/>
    <n v="1"/>
    <n v="21"/>
    <n v="2"/>
    <n v="3"/>
    <n v="3"/>
    <n v="2"/>
    <n v="1"/>
    <n v="1"/>
    <s v="3-5 yrs"/>
  </r>
  <r>
    <n v="43"/>
    <x v="1"/>
    <s v="Travel_Frequently"/>
    <n v="559"/>
    <x v="1"/>
    <n v="10"/>
    <n v="4"/>
    <s v="Life Sciences"/>
    <n v="1"/>
    <n v="448"/>
    <n v="3"/>
    <s v="Female"/>
    <n v="82"/>
    <n v="2"/>
    <n v="2"/>
    <s v="Laboratory Technician"/>
    <x v="2"/>
    <s v="Divorced"/>
    <x v="322"/>
    <n v="6227"/>
    <n v="1"/>
    <s v="Y"/>
    <s v="No"/>
    <n v="11"/>
    <n v="3"/>
    <n v="2"/>
    <n v="80"/>
    <n v="1"/>
    <n v="9"/>
    <n v="3"/>
    <n v="4"/>
    <n v="9"/>
    <n v="7"/>
    <n v="0"/>
    <n v="0"/>
    <s v="5+ yrs"/>
  </r>
  <r>
    <n v="27"/>
    <x v="1"/>
    <s v="Non-Travel"/>
    <n v="210"/>
    <x v="0"/>
    <n v="1"/>
    <n v="1"/>
    <s v="Marketing"/>
    <n v="1"/>
    <n v="449"/>
    <n v="3"/>
    <s v="Male"/>
    <n v="73"/>
    <n v="3"/>
    <n v="2"/>
    <s v="Sales Executive"/>
    <x v="1"/>
    <s v="Married"/>
    <x v="323"/>
    <n v="22107"/>
    <n v="0"/>
    <s v="Y"/>
    <s v="Yes"/>
    <n v="13"/>
    <n v="3"/>
    <n v="4"/>
    <n v="80"/>
    <n v="1"/>
    <n v="6"/>
    <n v="0"/>
    <n v="3"/>
    <n v="5"/>
    <n v="4"/>
    <n v="1"/>
    <n v="4"/>
    <s v="3-5 yrs"/>
  </r>
  <r>
    <n v="54"/>
    <x v="1"/>
    <s v="Travel_Frequently"/>
    <n v="928"/>
    <x v="1"/>
    <n v="20"/>
    <n v="4"/>
    <s v="Life Sciences"/>
    <n v="1"/>
    <n v="450"/>
    <n v="4"/>
    <s v="Female"/>
    <n v="31"/>
    <n v="3"/>
    <n v="2"/>
    <s v="Research Scientist"/>
    <x v="2"/>
    <s v="Single"/>
    <x v="324"/>
    <n v="16885"/>
    <n v="3"/>
    <s v="Y"/>
    <s v="No"/>
    <n v="12"/>
    <n v="3"/>
    <n v="4"/>
    <n v="80"/>
    <n v="0"/>
    <n v="20"/>
    <n v="4"/>
    <n v="2"/>
    <n v="4"/>
    <n v="3"/>
    <n v="0"/>
    <n v="3"/>
    <s v="3-5 yrs"/>
  </r>
  <r>
    <n v="43"/>
    <x v="1"/>
    <s v="Travel_Rarely"/>
    <n v="1001"/>
    <x v="1"/>
    <n v="7"/>
    <n v="3"/>
    <s v="Life Sciences"/>
    <n v="1"/>
    <n v="451"/>
    <n v="3"/>
    <s v="Female"/>
    <n v="43"/>
    <n v="3"/>
    <n v="3"/>
    <s v="Healthcare Representative"/>
    <x v="3"/>
    <s v="Married"/>
    <x v="325"/>
    <n v="9262"/>
    <n v="8"/>
    <s v="Y"/>
    <s v="No"/>
    <n v="16"/>
    <n v="3"/>
    <n v="1"/>
    <n v="80"/>
    <n v="1"/>
    <n v="10"/>
    <n v="1"/>
    <n v="2"/>
    <n v="1"/>
    <n v="0"/>
    <n v="0"/>
    <n v="0"/>
    <s v="0-2 yrs"/>
  </r>
  <r>
    <n v="45"/>
    <x v="1"/>
    <s v="Travel_Rarely"/>
    <n v="549"/>
    <x v="1"/>
    <n v="8"/>
    <n v="4"/>
    <s v="Other"/>
    <n v="1"/>
    <n v="452"/>
    <n v="4"/>
    <s v="Male"/>
    <n v="75"/>
    <n v="3"/>
    <n v="2"/>
    <s v="Research Scientist"/>
    <x v="0"/>
    <s v="Married"/>
    <x v="326"/>
    <n v="9278"/>
    <n v="9"/>
    <s v="Y"/>
    <s v="No"/>
    <n v="14"/>
    <n v="3"/>
    <n v="1"/>
    <n v="80"/>
    <n v="2"/>
    <n v="12"/>
    <n v="3"/>
    <n v="3"/>
    <n v="10"/>
    <n v="9"/>
    <n v="9"/>
    <n v="8"/>
    <s v="5+ yrs"/>
  </r>
  <r>
    <n v="40"/>
    <x v="1"/>
    <s v="Travel_Rarely"/>
    <n v="1124"/>
    <x v="0"/>
    <n v="1"/>
    <n v="2"/>
    <s v="Medical"/>
    <n v="1"/>
    <n v="453"/>
    <n v="2"/>
    <s v="Male"/>
    <n v="57"/>
    <n v="1"/>
    <n v="2"/>
    <s v="Sales Executive"/>
    <x v="0"/>
    <s v="Married"/>
    <x v="327"/>
    <n v="13273"/>
    <n v="2"/>
    <s v="Y"/>
    <s v="Yes"/>
    <n v="22"/>
    <n v="4"/>
    <n v="3"/>
    <n v="80"/>
    <n v="3"/>
    <n v="6"/>
    <n v="2"/>
    <n v="2"/>
    <n v="4"/>
    <n v="3"/>
    <n v="0"/>
    <n v="2"/>
    <s v="3-5 yrs"/>
  </r>
  <r>
    <n v="29"/>
    <x v="0"/>
    <s v="Travel_Rarely"/>
    <n v="318"/>
    <x v="1"/>
    <n v="8"/>
    <n v="4"/>
    <s v="Other"/>
    <n v="1"/>
    <n v="454"/>
    <n v="2"/>
    <s v="Male"/>
    <n v="77"/>
    <n v="1"/>
    <n v="1"/>
    <s v="Laboratory Technician"/>
    <x v="3"/>
    <s v="Married"/>
    <x v="328"/>
    <n v="4759"/>
    <n v="1"/>
    <s v="Y"/>
    <s v="Yes"/>
    <n v="11"/>
    <n v="3"/>
    <n v="4"/>
    <n v="80"/>
    <n v="0"/>
    <n v="7"/>
    <n v="4"/>
    <n v="2"/>
    <n v="7"/>
    <n v="7"/>
    <n v="0"/>
    <n v="7"/>
    <s v="5+ yrs"/>
  </r>
  <r>
    <n v="29"/>
    <x v="1"/>
    <s v="Travel_Rarely"/>
    <n v="738"/>
    <x v="1"/>
    <n v="9"/>
    <n v="5"/>
    <s v="Other"/>
    <n v="1"/>
    <n v="455"/>
    <n v="2"/>
    <s v="Male"/>
    <n v="30"/>
    <n v="2"/>
    <n v="1"/>
    <s v="Laboratory Technician"/>
    <x v="0"/>
    <s v="Single"/>
    <x v="329"/>
    <n v="7621"/>
    <n v="0"/>
    <s v="Y"/>
    <s v="No"/>
    <n v="17"/>
    <n v="3"/>
    <n v="3"/>
    <n v="80"/>
    <n v="0"/>
    <n v="4"/>
    <n v="2"/>
    <n v="3"/>
    <n v="3"/>
    <n v="2"/>
    <n v="2"/>
    <n v="2"/>
    <s v="3-5 yrs"/>
  </r>
  <r>
    <n v="30"/>
    <x v="1"/>
    <s v="Travel_Rarely"/>
    <n v="570"/>
    <x v="0"/>
    <n v="5"/>
    <n v="3"/>
    <s v="Marketing"/>
    <n v="1"/>
    <n v="456"/>
    <n v="4"/>
    <s v="Female"/>
    <n v="30"/>
    <n v="2"/>
    <n v="2"/>
    <s v="Sales Executive"/>
    <x v="2"/>
    <s v="Divorced"/>
    <x v="330"/>
    <n v="5431"/>
    <n v="1"/>
    <s v="Y"/>
    <s v="No"/>
    <n v="13"/>
    <n v="3"/>
    <n v="3"/>
    <n v="80"/>
    <n v="3"/>
    <n v="10"/>
    <n v="2"/>
    <n v="3"/>
    <n v="10"/>
    <n v="9"/>
    <n v="1"/>
    <n v="2"/>
    <s v="5+ yrs"/>
  </r>
  <r>
    <n v="27"/>
    <x v="1"/>
    <s v="Travel_Rarely"/>
    <n v="1130"/>
    <x v="0"/>
    <n v="8"/>
    <n v="4"/>
    <s v="Marketing"/>
    <n v="1"/>
    <n v="458"/>
    <n v="2"/>
    <s v="Female"/>
    <n v="56"/>
    <n v="3"/>
    <n v="2"/>
    <s v="Sales Executive"/>
    <x v="1"/>
    <s v="Married"/>
    <x v="331"/>
    <n v="3415"/>
    <n v="1"/>
    <s v="Y"/>
    <s v="No"/>
    <n v="18"/>
    <n v="3"/>
    <n v="1"/>
    <n v="80"/>
    <n v="1"/>
    <n v="8"/>
    <n v="3"/>
    <n v="3"/>
    <n v="8"/>
    <n v="7"/>
    <n v="0"/>
    <n v="7"/>
    <s v="5+ yrs"/>
  </r>
  <r>
    <n v="37"/>
    <x v="1"/>
    <s v="Travel_Rarely"/>
    <n v="1192"/>
    <x v="1"/>
    <n v="5"/>
    <n v="2"/>
    <s v="Medical"/>
    <n v="1"/>
    <n v="460"/>
    <n v="4"/>
    <s v="Male"/>
    <n v="61"/>
    <n v="3"/>
    <n v="2"/>
    <s v="Manufacturing Director"/>
    <x v="0"/>
    <s v="Divorced"/>
    <x v="136"/>
    <n v="23177"/>
    <n v="7"/>
    <s v="Y"/>
    <s v="No"/>
    <n v="16"/>
    <n v="3"/>
    <n v="3"/>
    <n v="80"/>
    <n v="2"/>
    <n v="8"/>
    <n v="2"/>
    <n v="2"/>
    <n v="6"/>
    <n v="2"/>
    <n v="0"/>
    <n v="4"/>
    <s v="5+ yrs"/>
  </r>
  <r>
    <n v="38"/>
    <x v="1"/>
    <s v="Travel_Rarely"/>
    <n v="343"/>
    <x v="1"/>
    <n v="15"/>
    <n v="2"/>
    <s v="Life Sciences"/>
    <n v="1"/>
    <n v="461"/>
    <n v="3"/>
    <s v="Male"/>
    <n v="92"/>
    <n v="2"/>
    <n v="3"/>
    <s v="Research Director"/>
    <x v="0"/>
    <s v="Divorced"/>
    <x v="332"/>
    <n v="15682"/>
    <n v="0"/>
    <s v="Y"/>
    <s v="Yes"/>
    <n v="14"/>
    <n v="3"/>
    <n v="2"/>
    <n v="80"/>
    <n v="1"/>
    <n v="12"/>
    <n v="3"/>
    <n v="3"/>
    <n v="11"/>
    <n v="10"/>
    <n v="2"/>
    <n v="9"/>
    <s v="5+ yrs"/>
  </r>
  <r>
    <n v="31"/>
    <x v="1"/>
    <s v="Travel_Rarely"/>
    <n v="1232"/>
    <x v="1"/>
    <n v="7"/>
    <n v="4"/>
    <s v="Medical"/>
    <n v="1"/>
    <n v="462"/>
    <n v="3"/>
    <s v="Female"/>
    <n v="39"/>
    <n v="3"/>
    <n v="3"/>
    <s v="Manufacturing Director"/>
    <x v="0"/>
    <s v="Single"/>
    <x v="333"/>
    <n v="25713"/>
    <n v="1"/>
    <s v="Y"/>
    <s v="Yes"/>
    <n v="14"/>
    <n v="3"/>
    <n v="3"/>
    <n v="80"/>
    <n v="0"/>
    <n v="11"/>
    <n v="2"/>
    <n v="2"/>
    <n v="11"/>
    <n v="9"/>
    <n v="4"/>
    <n v="10"/>
    <s v="5+ yrs"/>
  </r>
  <r>
    <n v="29"/>
    <x v="1"/>
    <s v="Travel_Rarely"/>
    <n v="144"/>
    <x v="0"/>
    <n v="10"/>
    <n v="1"/>
    <s v="Marketing"/>
    <n v="1"/>
    <n v="463"/>
    <n v="4"/>
    <s v="Female"/>
    <n v="39"/>
    <n v="2"/>
    <n v="2"/>
    <s v="Sales Executive"/>
    <x v="1"/>
    <s v="Divorced"/>
    <x v="334"/>
    <n v="11866"/>
    <n v="1"/>
    <s v="Y"/>
    <s v="Yes"/>
    <n v="14"/>
    <n v="3"/>
    <n v="1"/>
    <n v="80"/>
    <n v="2"/>
    <n v="7"/>
    <n v="2"/>
    <n v="3"/>
    <n v="7"/>
    <n v="7"/>
    <n v="1"/>
    <n v="7"/>
    <s v="5+ yrs"/>
  </r>
  <r>
    <n v="35"/>
    <x v="1"/>
    <s v="Travel_Rarely"/>
    <n v="1296"/>
    <x v="1"/>
    <n v="5"/>
    <n v="4"/>
    <s v="Technical Degree"/>
    <n v="1"/>
    <n v="464"/>
    <n v="3"/>
    <s v="Male"/>
    <n v="62"/>
    <n v="3"/>
    <n v="3"/>
    <s v="Manufacturing Director"/>
    <x v="1"/>
    <s v="Single"/>
    <x v="335"/>
    <n v="18264"/>
    <n v="0"/>
    <s v="Y"/>
    <s v="No"/>
    <n v="13"/>
    <n v="3"/>
    <n v="4"/>
    <n v="80"/>
    <n v="0"/>
    <n v="17"/>
    <n v="5"/>
    <n v="3"/>
    <n v="16"/>
    <n v="6"/>
    <n v="0"/>
    <n v="13"/>
    <s v="5+ yrs"/>
  </r>
  <r>
    <n v="23"/>
    <x v="1"/>
    <s v="Travel_Rarely"/>
    <n v="1309"/>
    <x v="1"/>
    <n v="26"/>
    <n v="1"/>
    <s v="Life Sciences"/>
    <n v="1"/>
    <n v="465"/>
    <n v="3"/>
    <s v="Male"/>
    <n v="83"/>
    <n v="3"/>
    <n v="1"/>
    <s v="Research Scientist"/>
    <x v="0"/>
    <s v="Divorced"/>
    <x v="336"/>
    <n v="16092"/>
    <n v="1"/>
    <s v="Y"/>
    <s v="No"/>
    <n v="12"/>
    <n v="3"/>
    <n v="3"/>
    <n v="80"/>
    <n v="2"/>
    <n v="4"/>
    <n v="2"/>
    <n v="2"/>
    <n v="4"/>
    <n v="2"/>
    <n v="0"/>
    <n v="2"/>
    <s v="3-5 yrs"/>
  </r>
  <r>
    <n v="41"/>
    <x v="1"/>
    <s v="Travel_Rarely"/>
    <n v="483"/>
    <x v="1"/>
    <n v="6"/>
    <n v="3"/>
    <s v="Medical"/>
    <n v="1"/>
    <n v="466"/>
    <n v="4"/>
    <s v="Male"/>
    <n v="95"/>
    <n v="2"/>
    <n v="2"/>
    <s v="Manufacturing Director"/>
    <x v="1"/>
    <s v="Single"/>
    <x v="337"/>
    <n v="10110"/>
    <n v="6"/>
    <s v="Y"/>
    <s v="Yes"/>
    <n v="15"/>
    <n v="3"/>
    <n v="4"/>
    <n v="80"/>
    <n v="0"/>
    <n v="8"/>
    <n v="3"/>
    <n v="3"/>
    <n v="5"/>
    <n v="4"/>
    <n v="1"/>
    <n v="2"/>
    <s v="3-5 yrs"/>
  </r>
  <r>
    <n v="47"/>
    <x v="1"/>
    <s v="Travel_Frequently"/>
    <n v="1309"/>
    <x v="0"/>
    <n v="4"/>
    <n v="1"/>
    <s v="Medical"/>
    <n v="1"/>
    <n v="467"/>
    <n v="2"/>
    <s v="Male"/>
    <n v="99"/>
    <n v="3"/>
    <n v="2"/>
    <s v="Sales Representative"/>
    <x v="2"/>
    <s v="Single"/>
    <x v="338"/>
    <n v="25751"/>
    <n v="3"/>
    <s v="Y"/>
    <s v="No"/>
    <n v="19"/>
    <n v="3"/>
    <n v="1"/>
    <n v="80"/>
    <n v="0"/>
    <n v="5"/>
    <n v="3"/>
    <n v="3"/>
    <n v="0"/>
    <n v="0"/>
    <n v="0"/>
    <n v="0"/>
    <s v="0-2 yrs"/>
  </r>
  <r>
    <n v="42"/>
    <x v="1"/>
    <s v="Travel_Rarely"/>
    <n v="810"/>
    <x v="1"/>
    <n v="23"/>
    <n v="5"/>
    <s v="Life Sciences"/>
    <n v="1"/>
    <n v="468"/>
    <n v="1"/>
    <s v="Female"/>
    <n v="44"/>
    <n v="3"/>
    <n v="4"/>
    <s v="Research Director"/>
    <x v="0"/>
    <s v="Single"/>
    <x v="339"/>
    <n v="15901"/>
    <n v="2"/>
    <s v="Y"/>
    <s v="No"/>
    <n v="14"/>
    <n v="3"/>
    <n v="2"/>
    <n v="80"/>
    <n v="0"/>
    <n v="16"/>
    <n v="2"/>
    <n v="3"/>
    <n v="1"/>
    <n v="0"/>
    <n v="0"/>
    <n v="0"/>
    <s v="0-2 yrs"/>
  </r>
  <r>
    <n v="29"/>
    <x v="1"/>
    <s v="Non-Travel"/>
    <n v="746"/>
    <x v="0"/>
    <n v="2"/>
    <n v="3"/>
    <s v="Life Sciences"/>
    <n v="1"/>
    <n v="469"/>
    <n v="4"/>
    <s v="Male"/>
    <n v="61"/>
    <n v="3"/>
    <n v="2"/>
    <s v="Sales Executive"/>
    <x v="2"/>
    <s v="Married"/>
    <x v="340"/>
    <n v="16928"/>
    <n v="1"/>
    <s v="Y"/>
    <s v="No"/>
    <n v="14"/>
    <n v="3"/>
    <n v="1"/>
    <n v="80"/>
    <n v="1"/>
    <n v="4"/>
    <n v="3"/>
    <n v="2"/>
    <n v="4"/>
    <n v="3"/>
    <n v="0"/>
    <n v="2"/>
    <s v="3-5 yrs"/>
  </r>
  <r>
    <n v="42"/>
    <x v="1"/>
    <s v="Travel_Rarely"/>
    <n v="544"/>
    <x v="2"/>
    <n v="2"/>
    <n v="1"/>
    <s v="Technical Degree"/>
    <n v="1"/>
    <n v="470"/>
    <n v="3"/>
    <s v="Male"/>
    <n v="52"/>
    <n v="3"/>
    <n v="1"/>
    <s v="Human Resources"/>
    <x v="2"/>
    <s v="Divorced"/>
    <x v="341"/>
    <n v="24017"/>
    <n v="0"/>
    <s v="Y"/>
    <s v="Yes"/>
    <n v="11"/>
    <n v="3"/>
    <n v="3"/>
    <n v="80"/>
    <n v="1"/>
    <n v="4"/>
    <n v="5"/>
    <n v="3"/>
    <n v="3"/>
    <n v="2"/>
    <n v="1"/>
    <n v="0"/>
    <s v="3-5 yrs"/>
  </r>
  <r>
    <n v="32"/>
    <x v="1"/>
    <s v="Travel_Rarely"/>
    <n v="1062"/>
    <x v="1"/>
    <n v="2"/>
    <n v="3"/>
    <s v="Medical"/>
    <n v="1"/>
    <n v="471"/>
    <n v="3"/>
    <s v="Female"/>
    <n v="75"/>
    <n v="3"/>
    <n v="1"/>
    <s v="Laboratory Technician"/>
    <x v="1"/>
    <s v="Married"/>
    <x v="342"/>
    <n v="3956"/>
    <n v="1"/>
    <s v="Y"/>
    <s v="No"/>
    <n v="13"/>
    <n v="3"/>
    <n v="3"/>
    <n v="80"/>
    <n v="1"/>
    <n v="8"/>
    <n v="4"/>
    <n v="3"/>
    <n v="8"/>
    <n v="0"/>
    <n v="0"/>
    <n v="7"/>
    <s v="5+ yrs"/>
  </r>
  <r>
    <n v="48"/>
    <x v="1"/>
    <s v="Travel_Rarely"/>
    <n v="530"/>
    <x v="0"/>
    <n v="29"/>
    <n v="1"/>
    <s v="Medical"/>
    <n v="1"/>
    <n v="473"/>
    <n v="1"/>
    <s v="Female"/>
    <n v="91"/>
    <n v="3"/>
    <n v="3"/>
    <s v="Manager"/>
    <x v="2"/>
    <s v="Married"/>
    <x v="343"/>
    <n v="23978"/>
    <n v="3"/>
    <s v="Y"/>
    <s v="No"/>
    <n v="21"/>
    <n v="4"/>
    <n v="2"/>
    <n v="80"/>
    <n v="1"/>
    <n v="15"/>
    <n v="3"/>
    <n v="1"/>
    <n v="0"/>
    <n v="0"/>
    <n v="0"/>
    <n v="0"/>
    <s v="0-2 yrs"/>
  </r>
  <r>
    <n v="37"/>
    <x v="1"/>
    <s v="Travel_Rarely"/>
    <n v="1319"/>
    <x v="1"/>
    <n v="6"/>
    <n v="3"/>
    <s v="Medical"/>
    <n v="1"/>
    <n v="474"/>
    <n v="3"/>
    <s v="Male"/>
    <n v="51"/>
    <n v="4"/>
    <n v="2"/>
    <s v="Research Scientist"/>
    <x v="3"/>
    <s v="Divorced"/>
    <x v="344"/>
    <n v="17001"/>
    <n v="4"/>
    <s v="Y"/>
    <s v="Yes"/>
    <n v="13"/>
    <n v="3"/>
    <n v="1"/>
    <n v="80"/>
    <n v="2"/>
    <n v="13"/>
    <n v="2"/>
    <n v="3"/>
    <n v="7"/>
    <n v="7"/>
    <n v="6"/>
    <n v="7"/>
    <s v="5+ yrs"/>
  </r>
  <r>
    <n v="30"/>
    <x v="1"/>
    <s v="Non-Travel"/>
    <n v="641"/>
    <x v="0"/>
    <n v="25"/>
    <n v="2"/>
    <s v="Technical Degree"/>
    <n v="1"/>
    <n v="475"/>
    <n v="4"/>
    <s v="Female"/>
    <n v="85"/>
    <n v="3"/>
    <n v="2"/>
    <s v="Sales Executive"/>
    <x v="2"/>
    <s v="Married"/>
    <x v="345"/>
    <n v="6069"/>
    <n v="7"/>
    <s v="Y"/>
    <s v="Yes"/>
    <n v="12"/>
    <n v="3"/>
    <n v="2"/>
    <n v="80"/>
    <n v="1"/>
    <n v="4"/>
    <n v="2"/>
    <n v="4"/>
    <n v="2"/>
    <n v="2"/>
    <n v="2"/>
    <n v="2"/>
    <s v="0-2 yrs"/>
  </r>
  <r>
    <n v="26"/>
    <x v="1"/>
    <s v="Travel_Rarely"/>
    <n v="933"/>
    <x v="0"/>
    <n v="1"/>
    <n v="3"/>
    <s v="Life Sciences"/>
    <n v="1"/>
    <n v="476"/>
    <n v="3"/>
    <s v="Male"/>
    <n v="57"/>
    <n v="3"/>
    <n v="2"/>
    <s v="Sales Executive"/>
    <x v="2"/>
    <s v="Married"/>
    <x v="346"/>
    <n v="20156"/>
    <n v="1"/>
    <s v="Y"/>
    <s v="No"/>
    <n v="17"/>
    <n v="3"/>
    <n v="2"/>
    <n v="80"/>
    <n v="1"/>
    <n v="8"/>
    <n v="3"/>
    <n v="3"/>
    <n v="8"/>
    <n v="7"/>
    <n v="7"/>
    <n v="7"/>
    <s v="5+ yrs"/>
  </r>
  <r>
    <n v="42"/>
    <x v="1"/>
    <s v="Travel_Rarely"/>
    <n v="1332"/>
    <x v="1"/>
    <n v="2"/>
    <n v="4"/>
    <s v="Other"/>
    <n v="1"/>
    <n v="477"/>
    <n v="1"/>
    <s v="Male"/>
    <n v="98"/>
    <n v="2"/>
    <n v="2"/>
    <s v="Healthcare Representative"/>
    <x v="0"/>
    <s v="Single"/>
    <x v="347"/>
    <n v="17078"/>
    <n v="3"/>
    <s v="Y"/>
    <s v="No"/>
    <n v="23"/>
    <n v="4"/>
    <n v="2"/>
    <n v="80"/>
    <n v="0"/>
    <n v="14"/>
    <n v="6"/>
    <n v="3"/>
    <n v="1"/>
    <n v="0"/>
    <n v="0"/>
    <n v="0"/>
    <s v="0-2 yrs"/>
  </r>
  <r>
    <n v="21"/>
    <x v="0"/>
    <s v="Travel_Frequently"/>
    <n v="756"/>
    <x v="0"/>
    <n v="1"/>
    <n v="1"/>
    <s v="Technical Degree"/>
    <n v="1"/>
    <n v="478"/>
    <n v="1"/>
    <s v="Female"/>
    <n v="99"/>
    <n v="2"/>
    <n v="1"/>
    <s v="Sales Representative"/>
    <x v="1"/>
    <s v="Single"/>
    <x v="348"/>
    <n v="9150"/>
    <n v="1"/>
    <s v="Y"/>
    <s v="Yes"/>
    <n v="11"/>
    <n v="3"/>
    <n v="3"/>
    <n v="80"/>
    <n v="0"/>
    <n v="3"/>
    <n v="3"/>
    <n v="3"/>
    <n v="3"/>
    <n v="2"/>
    <n v="1"/>
    <n v="2"/>
    <s v="3-5 yrs"/>
  </r>
  <r>
    <n v="36"/>
    <x v="1"/>
    <s v="Non-Travel"/>
    <n v="845"/>
    <x v="0"/>
    <n v="1"/>
    <n v="5"/>
    <s v="Medical"/>
    <n v="1"/>
    <n v="479"/>
    <n v="4"/>
    <s v="Female"/>
    <n v="45"/>
    <n v="3"/>
    <n v="2"/>
    <s v="Sales Executive"/>
    <x v="0"/>
    <s v="Single"/>
    <x v="349"/>
    <n v="15276"/>
    <n v="4"/>
    <s v="Y"/>
    <s v="No"/>
    <n v="15"/>
    <n v="3"/>
    <n v="2"/>
    <n v="80"/>
    <n v="0"/>
    <n v="7"/>
    <n v="6"/>
    <n v="3"/>
    <n v="1"/>
    <n v="0"/>
    <n v="0"/>
    <n v="0"/>
    <s v="0-2 yrs"/>
  </r>
  <r>
    <n v="36"/>
    <x v="1"/>
    <s v="Travel_Frequently"/>
    <n v="541"/>
    <x v="0"/>
    <n v="3"/>
    <n v="4"/>
    <s v="Medical"/>
    <n v="1"/>
    <n v="481"/>
    <n v="1"/>
    <s v="Male"/>
    <n v="48"/>
    <n v="2"/>
    <n v="3"/>
    <s v="Sales Executive"/>
    <x v="0"/>
    <s v="Married"/>
    <x v="350"/>
    <n v="7246"/>
    <n v="4"/>
    <s v="Y"/>
    <s v="No"/>
    <n v="11"/>
    <n v="3"/>
    <n v="1"/>
    <n v="80"/>
    <n v="1"/>
    <n v="16"/>
    <n v="2"/>
    <n v="3"/>
    <n v="13"/>
    <n v="9"/>
    <n v="1"/>
    <n v="12"/>
    <s v="5+ yrs"/>
  </r>
  <r>
    <n v="57"/>
    <x v="1"/>
    <s v="Travel_Rarely"/>
    <n v="593"/>
    <x v="1"/>
    <n v="1"/>
    <n v="4"/>
    <s v="Medical"/>
    <n v="1"/>
    <n v="482"/>
    <n v="4"/>
    <s v="Male"/>
    <n v="88"/>
    <n v="3"/>
    <n v="2"/>
    <s v="Healthcare Representative"/>
    <x v="2"/>
    <s v="Married"/>
    <x v="351"/>
    <n v="2967"/>
    <n v="2"/>
    <s v="Y"/>
    <s v="No"/>
    <n v="11"/>
    <n v="3"/>
    <n v="3"/>
    <n v="80"/>
    <n v="0"/>
    <n v="15"/>
    <n v="2"/>
    <n v="3"/>
    <n v="3"/>
    <n v="2"/>
    <n v="1"/>
    <n v="2"/>
    <s v="3-5 yrs"/>
  </r>
  <r>
    <n v="40"/>
    <x v="1"/>
    <s v="Travel_Rarely"/>
    <n v="1171"/>
    <x v="1"/>
    <n v="10"/>
    <n v="4"/>
    <s v="Life Sciences"/>
    <n v="1"/>
    <n v="483"/>
    <n v="4"/>
    <s v="Female"/>
    <n v="46"/>
    <n v="4"/>
    <n v="1"/>
    <s v="Laboratory Technician"/>
    <x v="2"/>
    <s v="Married"/>
    <x v="352"/>
    <n v="22495"/>
    <n v="3"/>
    <s v="Y"/>
    <s v="Yes"/>
    <n v="13"/>
    <n v="3"/>
    <n v="3"/>
    <n v="80"/>
    <n v="1"/>
    <n v="10"/>
    <n v="3"/>
    <n v="3"/>
    <n v="7"/>
    <n v="7"/>
    <n v="1"/>
    <n v="7"/>
    <s v="5+ yrs"/>
  </r>
  <r>
    <n v="21"/>
    <x v="1"/>
    <s v="Non-Travel"/>
    <n v="895"/>
    <x v="0"/>
    <n v="9"/>
    <n v="2"/>
    <s v="Medical"/>
    <n v="1"/>
    <n v="484"/>
    <n v="1"/>
    <s v="Male"/>
    <n v="39"/>
    <n v="3"/>
    <n v="1"/>
    <s v="Sales Representative"/>
    <x v="0"/>
    <s v="Single"/>
    <x v="353"/>
    <n v="2851"/>
    <n v="1"/>
    <s v="Y"/>
    <s v="No"/>
    <n v="24"/>
    <n v="4"/>
    <n v="3"/>
    <n v="80"/>
    <n v="0"/>
    <n v="3"/>
    <n v="3"/>
    <n v="2"/>
    <n v="3"/>
    <n v="2"/>
    <n v="2"/>
    <n v="2"/>
    <s v="3-5 yrs"/>
  </r>
  <r>
    <n v="33"/>
    <x v="0"/>
    <s v="Travel_Rarely"/>
    <n v="350"/>
    <x v="0"/>
    <n v="5"/>
    <n v="3"/>
    <s v="Marketing"/>
    <n v="1"/>
    <n v="485"/>
    <n v="4"/>
    <s v="Female"/>
    <n v="34"/>
    <n v="3"/>
    <n v="1"/>
    <s v="Sales Representative"/>
    <x v="2"/>
    <s v="Single"/>
    <x v="354"/>
    <n v="9150"/>
    <n v="1"/>
    <s v="Y"/>
    <s v="Yes"/>
    <n v="13"/>
    <n v="3"/>
    <n v="2"/>
    <n v="80"/>
    <n v="0"/>
    <n v="1"/>
    <n v="2"/>
    <n v="3"/>
    <n v="1"/>
    <n v="0"/>
    <n v="0"/>
    <n v="0"/>
    <s v="0-2 yrs"/>
  </r>
  <r>
    <n v="37"/>
    <x v="1"/>
    <s v="Travel_Rarely"/>
    <n v="921"/>
    <x v="1"/>
    <n v="10"/>
    <n v="3"/>
    <s v="Medical"/>
    <n v="1"/>
    <n v="486"/>
    <n v="3"/>
    <s v="Female"/>
    <n v="98"/>
    <n v="3"/>
    <n v="1"/>
    <s v="Laboratory Technician"/>
    <x v="3"/>
    <s v="Married"/>
    <x v="138"/>
    <n v="17663"/>
    <n v="6"/>
    <s v="Y"/>
    <s v="No"/>
    <n v="20"/>
    <n v="4"/>
    <n v="2"/>
    <n v="80"/>
    <n v="1"/>
    <n v="17"/>
    <n v="3"/>
    <n v="3"/>
    <n v="5"/>
    <n v="4"/>
    <n v="0"/>
    <n v="3"/>
    <s v="3-5 yrs"/>
  </r>
  <r>
    <n v="46"/>
    <x v="1"/>
    <s v="Non-Travel"/>
    <n v="1144"/>
    <x v="1"/>
    <n v="7"/>
    <n v="4"/>
    <s v="Medical"/>
    <n v="1"/>
    <n v="487"/>
    <n v="3"/>
    <s v="Female"/>
    <n v="30"/>
    <n v="3"/>
    <n v="2"/>
    <s v="Manufacturing Director"/>
    <x v="2"/>
    <s v="Married"/>
    <x v="355"/>
    <n v="16044"/>
    <n v="2"/>
    <s v="Y"/>
    <s v="No"/>
    <n v="14"/>
    <n v="3"/>
    <n v="3"/>
    <n v="80"/>
    <n v="0"/>
    <n v="7"/>
    <n v="2"/>
    <n v="4"/>
    <n v="1"/>
    <n v="0"/>
    <n v="0"/>
    <n v="0"/>
    <s v="0-2 yrs"/>
  </r>
  <r>
    <n v="41"/>
    <x v="0"/>
    <s v="Travel_Frequently"/>
    <n v="143"/>
    <x v="0"/>
    <n v="4"/>
    <n v="3"/>
    <s v="Marketing"/>
    <n v="1"/>
    <n v="488"/>
    <n v="1"/>
    <s v="Male"/>
    <n v="56"/>
    <n v="3"/>
    <n v="2"/>
    <s v="Sales Executive"/>
    <x v="1"/>
    <s v="Single"/>
    <x v="356"/>
    <n v="9558"/>
    <n v="1"/>
    <s v="Y"/>
    <s v="No"/>
    <n v="18"/>
    <n v="3"/>
    <n v="3"/>
    <n v="80"/>
    <n v="0"/>
    <n v="8"/>
    <n v="5"/>
    <n v="3"/>
    <n v="8"/>
    <n v="7"/>
    <n v="7"/>
    <n v="7"/>
    <s v="5+ yrs"/>
  </r>
  <r>
    <n v="50"/>
    <x v="1"/>
    <s v="Travel_Rarely"/>
    <n v="1046"/>
    <x v="1"/>
    <n v="10"/>
    <n v="3"/>
    <s v="Technical Degree"/>
    <n v="1"/>
    <n v="491"/>
    <n v="4"/>
    <s v="Male"/>
    <n v="100"/>
    <n v="2"/>
    <n v="3"/>
    <s v="Healthcare Representative"/>
    <x v="0"/>
    <s v="Single"/>
    <x v="357"/>
    <n v="2755"/>
    <n v="6"/>
    <s v="Y"/>
    <s v="No"/>
    <n v="15"/>
    <n v="3"/>
    <n v="4"/>
    <n v="80"/>
    <n v="0"/>
    <n v="20"/>
    <n v="2"/>
    <n v="3"/>
    <n v="4"/>
    <n v="3"/>
    <n v="1"/>
    <n v="3"/>
    <s v="3-5 yrs"/>
  </r>
  <r>
    <n v="40"/>
    <x v="0"/>
    <s v="Travel_Rarely"/>
    <n v="575"/>
    <x v="0"/>
    <n v="22"/>
    <n v="2"/>
    <s v="Marketing"/>
    <n v="1"/>
    <n v="492"/>
    <n v="3"/>
    <s v="Male"/>
    <n v="68"/>
    <n v="2"/>
    <n v="2"/>
    <s v="Sales Executive"/>
    <x v="2"/>
    <s v="Married"/>
    <x v="358"/>
    <n v="6110"/>
    <n v="2"/>
    <s v="Y"/>
    <s v="Yes"/>
    <n v="12"/>
    <n v="3"/>
    <n v="1"/>
    <n v="80"/>
    <n v="2"/>
    <n v="8"/>
    <n v="6"/>
    <n v="3"/>
    <n v="6"/>
    <n v="4"/>
    <n v="1"/>
    <n v="0"/>
    <s v="5+ yrs"/>
  </r>
  <r>
    <n v="31"/>
    <x v="1"/>
    <s v="Travel_Rarely"/>
    <n v="408"/>
    <x v="1"/>
    <n v="9"/>
    <n v="4"/>
    <s v="Life Sciences"/>
    <n v="1"/>
    <n v="493"/>
    <n v="3"/>
    <s v="Male"/>
    <n v="42"/>
    <n v="2"/>
    <n v="1"/>
    <s v="Research Scientist"/>
    <x v="1"/>
    <s v="Single"/>
    <x v="210"/>
    <n v="7551"/>
    <n v="0"/>
    <s v="Y"/>
    <s v="Yes"/>
    <n v="16"/>
    <n v="3"/>
    <n v="4"/>
    <n v="80"/>
    <n v="0"/>
    <n v="3"/>
    <n v="5"/>
    <n v="3"/>
    <n v="2"/>
    <n v="2"/>
    <n v="2"/>
    <n v="2"/>
    <s v="0-2 yrs"/>
  </r>
  <r>
    <n v="21"/>
    <x v="0"/>
    <s v="Travel_Rarely"/>
    <n v="156"/>
    <x v="0"/>
    <n v="12"/>
    <n v="3"/>
    <s v="Life Sciences"/>
    <n v="1"/>
    <n v="494"/>
    <n v="3"/>
    <s v="Female"/>
    <n v="90"/>
    <n v="4"/>
    <n v="1"/>
    <s v="Sales Representative"/>
    <x v="1"/>
    <s v="Single"/>
    <x v="359"/>
    <n v="25422"/>
    <n v="1"/>
    <s v="Y"/>
    <s v="No"/>
    <n v="15"/>
    <n v="3"/>
    <n v="4"/>
    <n v="80"/>
    <n v="0"/>
    <n v="1"/>
    <n v="0"/>
    <n v="3"/>
    <n v="1"/>
    <n v="0"/>
    <n v="0"/>
    <n v="0"/>
    <s v="0-2 yrs"/>
  </r>
  <r>
    <n v="29"/>
    <x v="1"/>
    <s v="Travel_Rarely"/>
    <n v="1283"/>
    <x v="1"/>
    <n v="23"/>
    <n v="3"/>
    <s v="Life Sciences"/>
    <n v="1"/>
    <n v="495"/>
    <n v="4"/>
    <s v="Male"/>
    <n v="54"/>
    <n v="3"/>
    <n v="1"/>
    <s v="Research Scientist"/>
    <x v="0"/>
    <s v="Single"/>
    <x v="360"/>
    <n v="18168"/>
    <n v="9"/>
    <s v="Y"/>
    <s v="No"/>
    <n v="16"/>
    <n v="3"/>
    <n v="4"/>
    <n v="80"/>
    <n v="0"/>
    <n v="6"/>
    <n v="4"/>
    <n v="3"/>
    <n v="3"/>
    <n v="2"/>
    <n v="1"/>
    <n v="2"/>
    <s v="3-5 yrs"/>
  </r>
  <r>
    <n v="35"/>
    <x v="1"/>
    <s v="Travel_Rarely"/>
    <n v="755"/>
    <x v="1"/>
    <n v="9"/>
    <n v="4"/>
    <s v="Life Sciences"/>
    <n v="1"/>
    <n v="496"/>
    <n v="3"/>
    <s v="Male"/>
    <n v="97"/>
    <n v="2"/>
    <n v="2"/>
    <s v="Healthcare Representative"/>
    <x v="1"/>
    <s v="Single"/>
    <x v="361"/>
    <n v="19394"/>
    <n v="9"/>
    <s v="Y"/>
    <s v="No"/>
    <n v="19"/>
    <n v="3"/>
    <n v="3"/>
    <n v="80"/>
    <n v="0"/>
    <n v="10"/>
    <n v="5"/>
    <n v="3"/>
    <n v="1"/>
    <n v="1"/>
    <n v="0"/>
    <n v="0"/>
    <s v="0-2 yrs"/>
  </r>
  <r>
    <n v="27"/>
    <x v="1"/>
    <s v="Travel_Rarely"/>
    <n v="1469"/>
    <x v="1"/>
    <n v="1"/>
    <n v="2"/>
    <s v="Medical"/>
    <n v="1"/>
    <n v="497"/>
    <n v="4"/>
    <s v="Male"/>
    <n v="82"/>
    <n v="3"/>
    <n v="1"/>
    <s v="Laboratory Technician"/>
    <x v="1"/>
    <s v="Divorced"/>
    <x v="362"/>
    <n v="17881"/>
    <n v="1"/>
    <s v="Y"/>
    <s v="No"/>
    <n v="11"/>
    <n v="3"/>
    <n v="2"/>
    <n v="80"/>
    <n v="1"/>
    <n v="5"/>
    <n v="2"/>
    <n v="3"/>
    <n v="5"/>
    <n v="2"/>
    <n v="0"/>
    <n v="4"/>
    <s v="3-5 yrs"/>
  </r>
  <r>
    <n v="28"/>
    <x v="1"/>
    <s v="Travel_Rarely"/>
    <n v="304"/>
    <x v="0"/>
    <n v="9"/>
    <n v="4"/>
    <s v="Life Sciences"/>
    <n v="1"/>
    <n v="498"/>
    <n v="2"/>
    <s v="Male"/>
    <n v="92"/>
    <n v="3"/>
    <n v="2"/>
    <s v="Sales Executive"/>
    <x v="0"/>
    <s v="Single"/>
    <x v="363"/>
    <n v="20750"/>
    <n v="1"/>
    <s v="Y"/>
    <s v="No"/>
    <n v="16"/>
    <n v="3"/>
    <n v="4"/>
    <n v="80"/>
    <n v="0"/>
    <n v="7"/>
    <n v="1"/>
    <n v="3"/>
    <n v="7"/>
    <n v="5"/>
    <n v="0"/>
    <n v="7"/>
    <s v="5+ yrs"/>
  </r>
  <r>
    <n v="49"/>
    <x v="1"/>
    <s v="Travel_Rarely"/>
    <n v="1261"/>
    <x v="1"/>
    <n v="7"/>
    <n v="3"/>
    <s v="Other"/>
    <n v="1"/>
    <n v="499"/>
    <n v="2"/>
    <s v="Male"/>
    <n v="31"/>
    <n v="2"/>
    <n v="3"/>
    <s v="Healthcare Representative"/>
    <x v="2"/>
    <s v="Single"/>
    <x v="364"/>
    <n v="12066"/>
    <n v="8"/>
    <s v="Y"/>
    <s v="No"/>
    <n v="24"/>
    <n v="4"/>
    <n v="3"/>
    <n v="80"/>
    <n v="0"/>
    <n v="26"/>
    <n v="2"/>
    <n v="3"/>
    <n v="5"/>
    <n v="2"/>
    <n v="0"/>
    <n v="0"/>
    <s v="3-5 yrs"/>
  </r>
  <r>
    <n v="51"/>
    <x v="1"/>
    <s v="Travel_Rarely"/>
    <n v="1178"/>
    <x v="0"/>
    <n v="14"/>
    <n v="2"/>
    <s v="Life Sciences"/>
    <n v="1"/>
    <n v="500"/>
    <n v="3"/>
    <s v="Female"/>
    <n v="87"/>
    <n v="3"/>
    <n v="2"/>
    <s v="Sales Executive"/>
    <x v="0"/>
    <s v="Married"/>
    <x v="365"/>
    <n v="14862"/>
    <n v="4"/>
    <s v="Y"/>
    <s v="No"/>
    <n v="11"/>
    <n v="3"/>
    <n v="3"/>
    <n v="80"/>
    <n v="1"/>
    <n v="18"/>
    <n v="2"/>
    <n v="2"/>
    <n v="7"/>
    <n v="7"/>
    <n v="0"/>
    <n v="7"/>
    <s v="5+ yrs"/>
  </r>
  <r>
    <n v="36"/>
    <x v="1"/>
    <s v="Travel_Rarely"/>
    <n v="329"/>
    <x v="1"/>
    <n v="2"/>
    <n v="3"/>
    <s v="Life Sciences"/>
    <n v="1"/>
    <n v="501"/>
    <n v="4"/>
    <s v="Female"/>
    <n v="96"/>
    <n v="3"/>
    <n v="1"/>
    <s v="Research Scientist"/>
    <x v="2"/>
    <s v="Married"/>
    <x v="366"/>
    <n v="11868"/>
    <n v="4"/>
    <s v="Y"/>
    <s v="No"/>
    <n v="13"/>
    <n v="3"/>
    <n v="2"/>
    <n v="80"/>
    <n v="1"/>
    <n v="6"/>
    <n v="3"/>
    <n v="3"/>
    <n v="2"/>
    <n v="2"/>
    <n v="2"/>
    <n v="2"/>
    <s v="0-2 yrs"/>
  </r>
  <r>
    <n v="34"/>
    <x v="0"/>
    <s v="Non-Travel"/>
    <n v="1362"/>
    <x v="0"/>
    <n v="19"/>
    <n v="3"/>
    <s v="Marketing"/>
    <n v="1"/>
    <n v="502"/>
    <n v="1"/>
    <s v="Male"/>
    <n v="67"/>
    <n v="4"/>
    <n v="2"/>
    <s v="Sales Executive"/>
    <x v="0"/>
    <s v="Single"/>
    <x v="367"/>
    <n v="4652"/>
    <n v="8"/>
    <s v="Y"/>
    <s v="Yes"/>
    <n v="13"/>
    <n v="3"/>
    <n v="2"/>
    <n v="80"/>
    <n v="0"/>
    <n v="9"/>
    <n v="3"/>
    <n v="2"/>
    <n v="5"/>
    <n v="2"/>
    <n v="0"/>
    <n v="4"/>
    <s v="3-5 yrs"/>
  </r>
  <r>
    <n v="55"/>
    <x v="1"/>
    <s v="Travel_Rarely"/>
    <n v="1311"/>
    <x v="1"/>
    <n v="2"/>
    <n v="3"/>
    <s v="Life Sciences"/>
    <n v="1"/>
    <n v="505"/>
    <n v="3"/>
    <s v="Female"/>
    <n v="97"/>
    <n v="3"/>
    <n v="4"/>
    <s v="Manager"/>
    <x v="0"/>
    <s v="Single"/>
    <x v="368"/>
    <n v="23258"/>
    <n v="2"/>
    <s v="Y"/>
    <s v="Yes"/>
    <n v="13"/>
    <n v="3"/>
    <n v="3"/>
    <n v="80"/>
    <n v="0"/>
    <n v="30"/>
    <n v="2"/>
    <n v="3"/>
    <n v="5"/>
    <n v="4"/>
    <n v="1"/>
    <n v="2"/>
    <s v="3-5 yrs"/>
  </r>
  <r>
    <n v="24"/>
    <x v="1"/>
    <s v="Travel_Rarely"/>
    <n v="1371"/>
    <x v="0"/>
    <n v="10"/>
    <n v="4"/>
    <s v="Marketing"/>
    <n v="1"/>
    <n v="507"/>
    <n v="4"/>
    <s v="Female"/>
    <n v="77"/>
    <n v="3"/>
    <n v="2"/>
    <s v="Sales Executive"/>
    <x v="2"/>
    <s v="Divorced"/>
    <x v="369"/>
    <n v="5915"/>
    <n v="1"/>
    <s v="Y"/>
    <s v="Yes"/>
    <n v="12"/>
    <n v="3"/>
    <n v="4"/>
    <n v="80"/>
    <n v="1"/>
    <n v="5"/>
    <n v="2"/>
    <n v="4"/>
    <n v="5"/>
    <n v="2"/>
    <n v="0"/>
    <n v="3"/>
    <s v="3-5 yrs"/>
  </r>
  <r>
    <n v="30"/>
    <x v="1"/>
    <s v="Travel_Rarely"/>
    <n v="202"/>
    <x v="0"/>
    <n v="2"/>
    <n v="1"/>
    <s v="Technical Degree"/>
    <n v="1"/>
    <n v="508"/>
    <n v="3"/>
    <s v="Male"/>
    <n v="72"/>
    <n v="3"/>
    <n v="1"/>
    <s v="Sales Representative"/>
    <x v="1"/>
    <s v="Married"/>
    <x v="370"/>
    <n v="17434"/>
    <n v="1"/>
    <s v="Y"/>
    <s v="No"/>
    <n v="18"/>
    <n v="3"/>
    <n v="1"/>
    <n v="80"/>
    <n v="1"/>
    <n v="1"/>
    <n v="3"/>
    <n v="3"/>
    <n v="1"/>
    <n v="0"/>
    <n v="0"/>
    <n v="0"/>
    <s v="0-2 yrs"/>
  </r>
  <r>
    <n v="26"/>
    <x v="0"/>
    <s v="Travel_Frequently"/>
    <n v="575"/>
    <x v="1"/>
    <n v="3"/>
    <n v="1"/>
    <s v="Technical Degree"/>
    <n v="1"/>
    <n v="510"/>
    <n v="3"/>
    <s v="Male"/>
    <n v="73"/>
    <n v="3"/>
    <n v="1"/>
    <s v="Research Scientist"/>
    <x v="3"/>
    <s v="Single"/>
    <x v="371"/>
    <n v="6582"/>
    <n v="0"/>
    <s v="Y"/>
    <s v="No"/>
    <n v="22"/>
    <n v="4"/>
    <n v="3"/>
    <n v="80"/>
    <n v="0"/>
    <n v="7"/>
    <n v="2"/>
    <n v="3"/>
    <n v="6"/>
    <n v="4"/>
    <n v="0"/>
    <n v="4"/>
    <s v="5+ yrs"/>
  </r>
  <r>
    <n v="22"/>
    <x v="1"/>
    <s v="Travel_Rarely"/>
    <n v="253"/>
    <x v="1"/>
    <n v="11"/>
    <n v="3"/>
    <s v="Medical"/>
    <n v="1"/>
    <n v="511"/>
    <n v="1"/>
    <s v="Female"/>
    <n v="43"/>
    <n v="3"/>
    <n v="1"/>
    <s v="Research Scientist"/>
    <x v="1"/>
    <s v="Married"/>
    <x v="372"/>
    <n v="24440"/>
    <n v="1"/>
    <s v="Y"/>
    <s v="No"/>
    <n v="13"/>
    <n v="3"/>
    <n v="4"/>
    <n v="80"/>
    <n v="1"/>
    <n v="2"/>
    <n v="1"/>
    <n v="3"/>
    <n v="2"/>
    <n v="1"/>
    <n v="1"/>
    <n v="2"/>
    <s v="0-2 yrs"/>
  </r>
  <r>
    <n v="36"/>
    <x v="1"/>
    <s v="Travel_Rarely"/>
    <n v="164"/>
    <x v="0"/>
    <n v="2"/>
    <n v="2"/>
    <s v="Medical"/>
    <n v="1"/>
    <n v="513"/>
    <n v="2"/>
    <s v="Male"/>
    <n v="61"/>
    <n v="2"/>
    <n v="3"/>
    <s v="Sales Executive"/>
    <x v="2"/>
    <s v="Married"/>
    <x v="373"/>
    <n v="3809"/>
    <n v="1"/>
    <s v="Y"/>
    <s v="No"/>
    <n v="13"/>
    <n v="3"/>
    <n v="2"/>
    <n v="80"/>
    <n v="2"/>
    <n v="10"/>
    <n v="2"/>
    <n v="3"/>
    <n v="10"/>
    <n v="9"/>
    <n v="9"/>
    <n v="0"/>
    <s v="5+ yrs"/>
  </r>
  <r>
    <n v="30"/>
    <x v="0"/>
    <s v="Travel_Frequently"/>
    <n v="464"/>
    <x v="1"/>
    <n v="4"/>
    <n v="3"/>
    <s v="Technical Degree"/>
    <n v="1"/>
    <n v="514"/>
    <n v="3"/>
    <s v="Male"/>
    <n v="40"/>
    <n v="3"/>
    <n v="1"/>
    <s v="Research Scientist"/>
    <x v="0"/>
    <s v="Single"/>
    <x v="374"/>
    <n v="3427"/>
    <n v="9"/>
    <s v="Y"/>
    <s v="Yes"/>
    <n v="23"/>
    <n v="4"/>
    <n v="3"/>
    <n v="80"/>
    <n v="0"/>
    <n v="3"/>
    <n v="4"/>
    <n v="3"/>
    <n v="1"/>
    <n v="0"/>
    <n v="0"/>
    <n v="0"/>
    <s v="0-2 yrs"/>
  </r>
  <r>
    <n v="37"/>
    <x v="1"/>
    <s v="Travel_Rarely"/>
    <n v="1107"/>
    <x v="1"/>
    <n v="14"/>
    <n v="3"/>
    <s v="Life Sciences"/>
    <n v="1"/>
    <n v="515"/>
    <n v="4"/>
    <s v="Female"/>
    <n v="95"/>
    <n v="3"/>
    <n v="1"/>
    <s v="Laboratory Technician"/>
    <x v="3"/>
    <s v="Divorced"/>
    <x v="375"/>
    <n v="26914"/>
    <n v="1"/>
    <s v="Y"/>
    <s v="No"/>
    <n v="12"/>
    <n v="3"/>
    <n v="3"/>
    <n v="80"/>
    <n v="1"/>
    <n v="18"/>
    <n v="2"/>
    <n v="2"/>
    <n v="18"/>
    <n v="7"/>
    <n v="12"/>
    <n v="17"/>
    <s v="5+ yrs"/>
  </r>
  <r>
    <n v="40"/>
    <x v="1"/>
    <s v="Travel_Rarely"/>
    <n v="759"/>
    <x v="0"/>
    <n v="2"/>
    <n v="2"/>
    <s v="Marketing"/>
    <n v="1"/>
    <n v="516"/>
    <n v="4"/>
    <s v="Female"/>
    <n v="46"/>
    <n v="3"/>
    <n v="2"/>
    <s v="Sales Executive"/>
    <x v="1"/>
    <s v="Divorced"/>
    <x v="376"/>
    <n v="22553"/>
    <n v="7"/>
    <s v="Y"/>
    <s v="No"/>
    <n v="12"/>
    <n v="3"/>
    <n v="3"/>
    <n v="80"/>
    <n v="2"/>
    <n v="8"/>
    <n v="5"/>
    <n v="3"/>
    <n v="5"/>
    <n v="4"/>
    <n v="1"/>
    <n v="3"/>
    <s v="3-5 yrs"/>
  </r>
  <r>
    <n v="42"/>
    <x v="1"/>
    <s v="Travel_Rarely"/>
    <n v="201"/>
    <x v="1"/>
    <n v="1"/>
    <n v="4"/>
    <s v="Life Sciences"/>
    <n v="1"/>
    <n v="517"/>
    <n v="2"/>
    <s v="Female"/>
    <n v="95"/>
    <n v="3"/>
    <n v="1"/>
    <s v="Laboratory Technician"/>
    <x v="3"/>
    <s v="Divorced"/>
    <x v="377"/>
    <n v="20490"/>
    <n v="3"/>
    <s v="Y"/>
    <s v="No"/>
    <n v="16"/>
    <n v="3"/>
    <n v="2"/>
    <n v="80"/>
    <n v="1"/>
    <n v="8"/>
    <n v="5"/>
    <n v="3"/>
    <n v="5"/>
    <n v="2"/>
    <n v="1"/>
    <n v="2"/>
    <s v="3-5 yrs"/>
  </r>
  <r>
    <n v="37"/>
    <x v="1"/>
    <s v="Travel_Rarely"/>
    <n v="1305"/>
    <x v="1"/>
    <n v="10"/>
    <n v="4"/>
    <s v="Life Sciences"/>
    <n v="1"/>
    <n v="518"/>
    <n v="3"/>
    <s v="Male"/>
    <n v="49"/>
    <n v="3"/>
    <n v="2"/>
    <s v="Manufacturing Director"/>
    <x v="1"/>
    <s v="Single"/>
    <x v="378"/>
    <n v="21123"/>
    <n v="2"/>
    <s v="Y"/>
    <s v="Yes"/>
    <n v="12"/>
    <n v="3"/>
    <n v="4"/>
    <n v="80"/>
    <n v="0"/>
    <n v="18"/>
    <n v="2"/>
    <n v="2"/>
    <n v="1"/>
    <n v="0"/>
    <n v="0"/>
    <n v="1"/>
    <s v="0-2 yrs"/>
  </r>
  <r>
    <n v="43"/>
    <x v="1"/>
    <s v="Travel_Rarely"/>
    <n v="982"/>
    <x v="1"/>
    <n v="12"/>
    <n v="3"/>
    <s v="Life Sciences"/>
    <n v="1"/>
    <n v="520"/>
    <n v="1"/>
    <s v="Male"/>
    <n v="59"/>
    <n v="2"/>
    <n v="4"/>
    <s v="Research Director"/>
    <x v="1"/>
    <s v="Divorced"/>
    <x v="379"/>
    <n v="4345"/>
    <n v="1"/>
    <s v="Y"/>
    <s v="No"/>
    <n v="11"/>
    <n v="3"/>
    <n v="3"/>
    <n v="80"/>
    <n v="1"/>
    <n v="25"/>
    <n v="3"/>
    <n v="3"/>
    <n v="25"/>
    <n v="10"/>
    <n v="3"/>
    <n v="9"/>
    <s v="5+ yrs"/>
  </r>
  <r>
    <n v="40"/>
    <x v="1"/>
    <s v="Travel_Rarely"/>
    <n v="555"/>
    <x v="1"/>
    <n v="2"/>
    <n v="3"/>
    <s v="Medical"/>
    <n v="1"/>
    <n v="521"/>
    <n v="2"/>
    <s v="Female"/>
    <n v="78"/>
    <n v="2"/>
    <n v="2"/>
    <s v="Laboratory Technician"/>
    <x v="2"/>
    <s v="Married"/>
    <x v="380"/>
    <n v="13436"/>
    <n v="6"/>
    <s v="Y"/>
    <s v="No"/>
    <n v="22"/>
    <n v="4"/>
    <n v="2"/>
    <n v="80"/>
    <n v="1"/>
    <n v="20"/>
    <n v="3"/>
    <n v="3"/>
    <n v="1"/>
    <n v="0"/>
    <n v="0"/>
    <n v="0"/>
    <s v="0-2 yrs"/>
  </r>
  <r>
    <n v="54"/>
    <x v="1"/>
    <s v="Travel_Rarely"/>
    <n v="821"/>
    <x v="1"/>
    <n v="5"/>
    <n v="2"/>
    <s v="Medical"/>
    <n v="1"/>
    <n v="522"/>
    <n v="1"/>
    <s v="Male"/>
    <n v="86"/>
    <n v="3"/>
    <n v="5"/>
    <s v="Research Director"/>
    <x v="3"/>
    <s v="Married"/>
    <x v="381"/>
    <n v="8509"/>
    <n v="4"/>
    <s v="Y"/>
    <s v="No"/>
    <n v="11"/>
    <n v="3"/>
    <n v="3"/>
    <n v="80"/>
    <n v="1"/>
    <n v="24"/>
    <n v="4"/>
    <n v="2"/>
    <n v="4"/>
    <n v="2"/>
    <n v="1"/>
    <n v="2"/>
    <s v="3-5 yrs"/>
  </r>
  <r>
    <n v="34"/>
    <x v="1"/>
    <s v="Non-Travel"/>
    <n v="1381"/>
    <x v="0"/>
    <n v="4"/>
    <n v="4"/>
    <s v="Marketing"/>
    <n v="1"/>
    <n v="523"/>
    <n v="3"/>
    <s v="Female"/>
    <n v="72"/>
    <n v="3"/>
    <n v="2"/>
    <s v="Sales Executive"/>
    <x v="2"/>
    <s v="Married"/>
    <x v="382"/>
    <n v="12740"/>
    <n v="9"/>
    <s v="Y"/>
    <s v="No"/>
    <n v="15"/>
    <n v="3"/>
    <n v="1"/>
    <n v="80"/>
    <n v="1"/>
    <n v="6"/>
    <n v="3"/>
    <n v="3"/>
    <n v="3"/>
    <n v="2"/>
    <n v="1"/>
    <n v="2"/>
    <s v="3-5 yrs"/>
  </r>
  <r>
    <n v="31"/>
    <x v="1"/>
    <s v="Travel_Rarely"/>
    <n v="480"/>
    <x v="1"/>
    <n v="7"/>
    <n v="2"/>
    <s v="Medical"/>
    <n v="1"/>
    <n v="524"/>
    <n v="2"/>
    <s v="Female"/>
    <n v="31"/>
    <n v="3"/>
    <n v="2"/>
    <s v="Manufacturing Director"/>
    <x v="3"/>
    <s v="Married"/>
    <x v="383"/>
    <n v="4156"/>
    <n v="1"/>
    <s v="Y"/>
    <s v="No"/>
    <n v="12"/>
    <n v="3"/>
    <n v="2"/>
    <n v="80"/>
    <n v="1"/>
    <n v="13"/>
    <n v="5"/>
    <n v="1"/>
    <n v="13"/>
    <n v="10"/>
    <n v="3"/>
    <n v="12"/>
    <s v="5+ yrs"/>
  </r>
  <r>
    <n v="43"/>
    <x v="1"/>
    <s v="Travel_Frequently"/>
    <n v="313"/>
    <x v="1"/>
    <n v="21"/>
    <n v="3"/>
    <s v="Medical"/>
    <n v="1"/>
    <n v="525"/>
    <n v="4"/>
    <s v="Male"/>
    <n v="61"/>
    <n v="3"/>
    <n v="1"/>
    <s v="Laboratory Technician"/>
    <x v="0"/>
    <s v="Married"/>
    <x v="384"/>
    <n v="15238"/>
    <n v="7"/>
    <s v="Y"/>
    <s v="No"/>
    <n v="20"/>
    <n v="4"/>
    <n v="1"/>
    <n v="80"/>
    <n v="1"/>
    <n v="8"/>
    <n v="1"/>
    <n v="3"/>
    <n v="3"/>
    <n v="2"/>
    <n v="1"/>
    <n v="2"/>
    <s v="3-5 yrs"/>
  </r>
  <r>
    <n v="43"/>
    <x v="1"/>
    <s v="Travel_Rarely"/>
    <n v="1473"/>
    <x v="1"/>
    <n v="8"/>
    <n v="4"/>
    <s v="Other"/>
    <n v="1"/>
    <n v="526"/>
    <n v="3"/>
    <s v="Female"/>
    <n v="74"/>
    <n v="3"/>
    <n v="2"/>
    <s v="Healthcare Representative"/>
    <x v="2"/>
    <s v="Divorced"/>
    <x v="385"/>
    <n v="2227"/>
    <n v="4"/>
    <s v="Y"/>
    <s v="Yes"/>
    <n v="14"/>
    <n v="3"/>
    <n v="4"/>
    <n v="80"/>
    <n v="0"/>
    <n v="8"/>
    <n v="3"/>
    <n v="3"/>
    <n v="5"/>
    <n v="2"/>
    <n v="0"/>
    <n v="2"/>
    <s v="3-5 yrs"/>
  </r>
  <r>
    <n v="25"/>
    <x v="1"/>
    <s v="Travel_Rarely"/>
    <n v="891"/>
    <x v="0"/>
    <n v="4"/>
    <n v="2"/>
    <s v="Life Sciences"/>
    <n v="1"/>
    <n v="527"/>
    <n v="2"/>
    <s v="Female"/>
    <n v="99"/>
    <n v="2"/>
    <n v="2"/>
    <s v="Sales Executive"/>
    <x v="0"/>
    <s v="Single"/>
    <x v="386"/>
    <n v="12090"/>
    <n v="1"/>
    <s v="Y"/>
    <s v="Yes"/>
    <n v="11"/>
    <n v="3"/>
    <n v="2"/>
    <n v="80"/>
    <n v="0"/>
    <n v="5"/>
    <n v="3"/>
    <n v="3"/>
    <n v="5"/>
    <n v="4"/>
    <n v="1"/>
    <n v="3"/>
    <s v="3-5 yrs"/>
  </r>
  <r>
    <n v="37"/>
    <x v="1"/>
    <s v="Non-Travel"/>
    <n v="1063"/>
    <x v="1"/>
    <n v="25"/>
    <n v="5"/>
    <s v="Medical"/>
    <n v="1"/>
    <n v="529"/>
    <n v="2"/>
    <s v="Female"/>
    <n v="72"/>
    <n v="3"/>
    <n v="2"/>
    <s v="Research Scientist"/>
    <x v="2"/>
    <s v="Married"/>
    <x v="387"/>
    <n v="23866"/>
    <n v="3"/>
    <s v="Y"/>
    <s v="Yes"/>
    <n v="15"/>
    <n v="3"/>
    <n v="1"/>
    <n v="80"/>
    <n v="2"/>
    <n v="15"/>
    <n v="2"/>
    <n v="3"/>
    <n v="13"/>
    <n v="11"/>
    <n v="10"/>
    <n v="7"/>
    <s v="5+ yrs"/>
  </r>
  <r>
    <n v="31"/>
    <x v="1"/>
    <s v="Travel_Rarely"/>
    <n v="329"/>
    <x v="1"/>
    <n v="1"/>
    <n v="2"/>
    <s v="Life Sciences"/>
    <n v="1"/>
    <n v="530"/>
    <n v="4"/>
    <s v="Male"/>
    <n v="98"/>
    <n v="2"/>
    <n v="1"/>
    <s v="Laboratory Technician"/>
    <x v="3"/>
    <s v="Married"/>
    <x v="388"/>
    <n v="16193"/>
    <n v="1"/>
    <s v="Y"/>
    <s v="No"/>
    <n v="12"/>
    <n v="3"/>
    <n v="3"/>
    <n v="80"/>
    <n v="1"/>
    <n v="4"/>
    <n v="3"/>
    <n v="3"/>
    <n v="4"/>
    <n v="2"/>
    <n v="3"/>
    <n v="2"/>
    <s v="3-5 yrs"/>
  </r>
  <r>
    <n v="39"/>
    <x v="1"/>
    <s v="Travel_Frequently"/>
    <n v="1218"/>
    <x v="1"/>
    <n v="1"/>
    <n v="1"/>
    <s v="Life Sciences"/>
    <n v="1"/>
    <n v="531"/>
    <n v="2"/>
    <s v="Male"/>
    <n v="52"/>
    <n v="3"/>
    <n v="5"/>
    <s v="Manager"/>
    <x v="2"/>
    <s v="Divorced"/>
    <x v="389"/>
    <n v="8213"/>
    <n v="1"/>
    <s v="Y"/>
    <s v="Yes"/>
    <n v="14"/>
    <n v="3"/>
    <n v="3"/>
    <n v="80"/>
    <n v="1"/>
    <n v="21"/>
    <n v="3"/>
    <n v="3"/>
    <n v="21"/>
    <n v="8"/>
    <n v="1"/>
    <n v="6"/>
    <s v="5+ yrs"/>
  </r>
  <r>
    <n v="56"/>
    <x v="1"/>
    <s v="Travel_Frequently"/>
    <n v="906"/>
    <x v="0"/>
    <n v="6"/>
    <n v="3"/>
    <s v="Life Sciences"/>
    <n v="1"/>
    <n v="532"/>
    <n v="3"/>
    <s v="Female"/>
    <n v="86"/>
    <n v="4"/>
    <n v="4"/>
    <s v="Sales Executive"/>
    <x v="3"/>
    <s v="Married"/>
    <x v="390"/>
    <n v="18256"/>
    <n v="9"/>
    <s v="Y"/>
    <s v="No"/>
    <n v="11"/>
    <n v="3"/>
    <n v="4"/>
    <n v="80"/>
    <n v="3"/>
    <n v="36"/>
    <n v="0"/>
    <n v="2"/>
    <n v="7"/>
    <n v="7"/>
    <n v="7"/>
    <n v="7"/>
    <s v="5+ yrs"/>
  </r>
  <r>
    <n v="30"/>
    <x v="1"/>
    <s v="Travel_Rarely"/>
    <n v="1082"/>
    <x v="0"/>
    <n v="12"/>
    <n v="3"/>
    <s v="Technical Degree"/>
    <n v="1"/>
    <n v="533"/>
    <n v="2"/>
    <s v="Female"/>
    <n v="83"/>
    <n v="3"/>
    <n v="2"/>
    <s v="Sales Executive"/>
    <x v="2"/>
    <s v="Single"/>
    <x v="391"/>
    <n v="19558"/>
    <n v="0"/>
    <s v="Y"/>
    <s v="No"/>
    <n v="11"/>
    <n v="3"/>
    <n v="2"/>
    <n v="80"/>
    <n v="0"/>
    <n v="6"/>
    <n v="6"/>
    <n v="3"/>
    <n v="5"/>
    <n v="4"/>
    <n v="4"/>
    <n v="4"/>
    <s v="3-5 yrs"/>
  </r>
  <r>
    <n v="41"/>
    <x v="1"/>
    <s v="Travel_Rarely"/>
    <n v="645"/>
    <x v="0"/>
    <n v="1"/>
    <n v="3"/>
    <s v="Marketing"/>
    <n v="1"/>
    <n v="534"/>
    <n v="2"/>
    <s v="Male"/>
    <n v="49"/>
    <n v="4"/>
    <n v="3"/>
    <s v="Sales Executive"/>
    <x v="3"/>
    <s v="Married"/>
    <x v="392"/>
    <n v="19566"/>
    <n v="1"/>
    <s v="Y"/>
    <s v="No"/>
    <n v="16"/>
    <n v="3"/>
    <n v="3"/>
    <n v="80"/>
    <n v="1"/>
    <n v="10"/>
    <n v="2"/>
    <n v="3"/>
    <n v="10"/>
    <n v="7"/>
    <n v="0"/>
    <n v="7"/>
    <s v="5+ yrs"/>
  </r>
  <r>
    <n v="28"/>
    <x v="1"/>
    <s v="Travel_Rarely"/>
    <n v="1300"/>
    <x v="1"/>
    <n v="17"/>
    <n v="2"/>
    <s v="Medical"/>
    <n v="1"/>
    <n v="536"/>
    <n v="3"/>
    <s v="Male"/>
    <n v="79"/>
    <n v="3"/>
    <n v="2"/>
    <s v="Laboratory Technician"/>
    <x v="3"/>
    <s v="Divorced"/>
    <x v="393"/>
    <n v="13535"/>
    <n v="1"/>
    <s v="Y"/>
    <s v="No"/>
    <n v="12"/>
    <n v="3"/>
    <n v="4"/>
    <n v="80"/>
    <n v="1"/>
    <n v="10"/>
    <n v="2"/>
    <n v="3"/>
    <n v="10"/>
    <n v="0"/>
    <n v="1"/>
    <n v="8"/>
    <s v="5+ yrs"/>
  </r>
  <r>
    <n v="25"/>
    <x v="0"/>
    <s v="Travel_Rarely"/>
    <n v="688"/>
    <x v="1"/>
    <n v="3"/>
    <n v="3"/>
    <s v="Medical"/>
    <n v="1"/>
    <n v="538"/>
    <n v="1"/>
    <s v="Male"/>
    <n v="91"/>
    <n v="3"/>
    <n v="1"/>
    <s v="Laboratory Technician"/>
    <x v="3"/>
    <s v="Married"/>
    <x v="394"/>
    <n v="9396"/>
    <n v="5"/>
    <s v="Y"/>
    <s v="No"/>
    <n v="13"/>
    <n v="3"/>
    <n v="3"/>
    <n v="80"/>
    <n v="1"/>
    <n v="6"/>
    <n v="5"/>
    <n v="3"/>
    <n v="2"/>
    <n v="2"/>
    <n v="0"/>
    <n v="2"/>
    <s v="0-2 yrs"/>
  </r>
  <r>
    <n v="52"/>
    <x v="1"/>
    <s v="Travel_Rarely"/>
    <n v="319"/>
    <x v="1"/>
    <n v="3"/>
    <n v="3"/>
    <s v="Medical"/>
    <n v="1"/>
    <n v="543"/>
    <n v="4"/>
    <s v="Male"/>
    <n v="39"/>
    <n v="2"/>
    <n v="3"/>
    <s v="Manufacturing Director"/>
    <x v="2"/>
    <s v="Married"/>
    <x v="395"/>
    <n v="19609"/>
    <n v="2"/>
    <s v="Y"/>
    <s v="Yes"/>
    <n v="14"/>
    <n v="3"/>
    <n v="3"/>
    <n v="80"/>
    <n v="0"/>
    <n v="28"/>
    <n v="4"/>
    <n v="3"/>
    <n v="5"/>
    <n v="4"/>
    <n v="0"/>
    <n v="4"/>
    <s v="3-5 yrs"/>
  </r>
  <r>
    <n v="45"/>
    <x v="1"/>
    <s v="Travel_Rarely"/>
    <n v="192"/>
    <x v="1"/>
    <n v="10"/>
    <n v="2"/>
    <s v="Life Sciences"/>
    <n v="1"/>
    <n v="544"/>
    <n v="1"/>
    <s v="Male"/>
    <n v="69"/>
    <n v="3"/>
    <n v="1"/>
    <s v="Research Scientist"/>
    <x v="0"/>
    <s v="Married"/>
    <x v="396"/>
    <n v="9655"/>
    <n v="3"/>
    <s v="Y"/>
    <s v="No"/>
    <n v="21"/>
    <n v="4"/>
    <n v="4"/>
    <n v="80"/>
    <n v="2"/>
    <n v="8"/>
    <n v="3"/>
    <n v="2"/>
    <n v="2"/>
    <n v="2"/>
    <n v="0"/>
    <n v="2"/>
    <s v="0-2 yrs"/>
  </r>
  <r>
    <n v="52"/>
    <x v="1"/>
    <s v="Travel_Rarely"/>
    <n v="1490"/>
    <x v="1"/>
    <n v="4"/>
    <n v="2"/>
    <s v="Life Sciences"/>
    <n v="1"/>
    <n v="546"/>
    <n v="4"/>
    <s v="Female"/>
    <n v="30"/>
    <n v="3"/>
    <n v="4"/>
    <s v="Manager"/>
    <x v="0"/>
    <s v="Married"/>
    <x v="397"/>
    <n v="10310"/>
    <n v="2"/>
    <s v="Y"/>
    <s v="No"/>
    <n v="13"/>
    <n v="3"/>
    <n v="4"/>
    <n v="80"/>
    <n v="0"/>
    <n v="31"/>
    <n v="2"/>
    <n v="1"/>
    <n v="5"/>
    <n v="2"/>
    <n v="1"/>
    <n v="4"/>
    <s v="3-5 yrs"/>
  </r>
  <r>
    <n v="42"/>
    <x v="1"/>
    <s v="Travel_Frequently"/>
    <n v="532"/>
    <x v="1"/>
    <n v="29"/>
    <n v="2"/>
    <s v="Life Sciences"/>
    <n v="1"/>
    <n v="547"/>
    <n v="1"/>
    <s v="Female"/>
    <n v="92"/>
    <n v="3"/>
    <n v="2"/>
    <s v="Research Scientist"/>
    <x v="2"/>
    <s v="Divorced"/>
    <x v="398"/>
    <n v="12932"/>
    <n v="2"/>
    <s v="Y"/>
    <s v="No"/>
    <n v="11"/>
    <n v="3"/>
    <n v="2"/>
    <n v="80"/>
    <n v="1"/>
    <n v="19"/>
    <n v="3"/>
    <n v="3"/>
    <n v="5"/>
    <n v="4"/>
    <n v="0"/>
    <n v="2"/>
    <s v="3-5 yrs"/>
  </r>
  <r>
    <n v="30"/>
    <x v="1"/>
    <s v="Travel_Rarely"/>
    <n v="317"/>
    <x v="1"/>
    <n v="2"/>
    <n v="3"/>
    <s v="Life Sciences"/>
    <n v="1"/>
    <n v="548"/>
    <n v="3"/>
    <s v="Female"/>
    <n v="43"/>
    <n v="1"/>
    <n v="2"/>
    <s v="Manufacturing Director"/>
    <x v="0"/>
    <s v="Single"/>
    <x v="399"/>
    <n v="24793"/>
    <n v="2"/>
    <s v="Y"/>
    <s v="No"/>
    <n v="20"/>
    <n v="4"/>
    <n v="3"/>
    <n v="80"/>
    <n v="0"/>
    <n v="11"/>
    <n v="2"/>
    <n v="3"/>
    <n v="5"/>
    <n v="4"/>
    <n v="0"/>
    <n v="2"/>
    <s v="3-5 yrs"/>
  </r>
  <r>
    <n v="60"/>
    <x v="1"/>
    <s v="Travel_Rarely"/>
    <n v="422"/>
    <x v="1"/>
    <n v="7"/>
    <n v="3"/>
    <s v="Life Sciences"/>
    <n v="1"/>
    <n v="549"/>
    <n v="1"/>
    <s v="Female"/>
    <n v="41"/>
    <n v="3"/>
    <n v="5"/>
    <s v="Manager"/>
    <x v="3"/>
    <s v="Married"/>
    <x v="400"/>
    <n v="3854"/>
    <n v="5"/>
    <s v="Y"/>
    <s v="No"/>
    <n v="11"/>
    <n v="3"/>
    <n v="4"/>
    <n v="80"/>
    <n v="0"/>
    <n v="33"/>
    <n v="5"/>
    <n v="1"/>
    <n v="29"/>
    <n v="8"/>
    <n v="11"/>
    <n v="10"/>
    <s v="5+ yrs"/>
  </r>
  <r>
    <n v="46"/>
    <x v="1"/>
    <s v="Travel_Rarely"/>
    <n v="1485"/>
    <x v="1"/>
    <n v="18"/>
    <n v="3"/>
    <s v="Medical"/>
    <n v="1"/>
    <n v="550"/>
    <n v="3"/>
    <s v="Female"/>
    <n v="87"/>
    <n v="3"/>
    <n v="2"/>
    <s v="Manufacturing Director"/>
    <x v="2"/>
    <s v="Divorced"/>
    <x v="401"/>
    <n v="26314"/>
    <n v="2"/>
    <s v="Y"/>
    <s v="No"/>
    <n v="14"/>
    <n v="3"/>
    <n v="3"/>
    <n v="80"/>
    <n v="1"/>
    <n v="19"/>
    <n v="5"/>
    <n v="2"/>
    <n v="10"/>
    <n v="7"/>
    <n v="0"/>
    <n v="8"/>
    <s v="5+ yrs"/>
  </r>
  <r>
    <n v="42"/>
    <x v="1"/>
    <s v="Travel_Frequently"/>
    <n v="1368"/>
    <x v="1"/>
    <n v="28"/>
    <n v="4"/>
    <s v="Technical Degree"/>
    <n v="1"/>
    <n v="551"/>
    <n v="4"/>
    <s v="Female"/>
    <n v="88"/>
    <n v="2"/>
    <n v="2"/>
    <s v="Healthcare Representative"/>
    <x v="0"/>
    <s v="Married"/>
    <x v="402"/>
    <n v="4386"/>
    <n v="0"/>
    <s v="Y"/>
    <s v="No"/>
    <n v="11"/>
    <n v="3"/>
    <n v="4"/>
    <n v="80"/>
    <n v="3"/>
    <n v="7"/>
    <n v="4"/>
    <n v="4"/>
    <n v="6"/>
    <n v="5"/>
    <n v="0"/>
    <n v="4"/>
    <s v="5+ yrs"/>
  </r>
  <r>
    <n v="24"/>
    <x v="0"/>
    <s v="Travel_Rarely"/>
    <n v="1448"/>
    <x v="0"/>
    <n v="1"/>
    <n v="1"/>
    <s v="Technical Degree"/>
    <n v="1"/>
    <n v="554"/>
    <n v="1"/>
    <s v="Female"/>
    <n v="62"/>
    <n v="3"/>
    <n v="1"/>
    <s v="Sales Representative"/>
    <x v="1"/>
    <s v="Single"/>
    <x v="403"/>
    <n v="21972"/>
    <n v="1"/>
    <s v="Y"/>
    <s v="Yes"/>
    <n v="16"/>
    <n v="3"/>
    <n v="2"/>
    <n v="80"/>
    <n v="0"/>
    <n v="6"/>
    <n v="4"/>
    <n v="3"/>
    <n v="5"/>
    <n v="3"/>
    <n v="1"/>
    <n v="4"/>
    <s v="3-5 yrs"/>
  </r>
  <r>
    <n v="34"/>
    <x v="0"/>
    <s v="Travel_Frequently"/>
    <n v="296"/>
    <x v="0"/>
    <n v="6"/>
    <n v="2"/>
    <s v="Marketing"/>
    <n v="1"/>
    <n v="555"/>
    <n v="4"/>
    <s v="Female"/>
    <n v="33"/>
    <n v="1"/>
    <n v="1"/>
    <s v="Sales Representative"/>
    <x v="2"/>
    <s v="Divorced"/>
    <x v="404"/>
    <n v="12253"/>
    <n v="0"/>
    <s v="Y"/>
    <s v="No"/>
    <n v="16"/>
    <n v="3"/>
    <n v="4"/>
    <n v="80"/>
    <n v="1"/>
    <n v="3"/>
    <n v="3"/>
    <n v="2"/>
    <n v="2"/>
    <n v="2"/>
    <n v="1"/>
    <n v="0"/>
    <s v="0-2 yrs"/>
  </r>
  <r>
    <n v="38"/>
    <x v="1"/>
    <s v="Travel_Frequently"/>
    <n v="1490"/>
    <x v="1"/>
    <n v="2"/>
    <n v="2"/>
    <s v="Life Sciences"/>
    <n v="1"/>
    <n v="556"/>
    <n v="4"/>
    <s v="Male"/>
    <n v="42"/>
    <n v="3"/>
    <n v="1"/>
    <s v="Laboratory Technician"/>
    <x v="0"/>
    <s v="Married"/>
    <x v="405"/>
    <n v="12106"/>
    <n v="1"/>
    <s v="Y"/>
    <s v="Yes"/>
    <n v="23"/>
    <n v="4"/>
    <n v="3"/>
    <n v="80"/>
    <n v="1"/>
    <n v="1"/>
    <n v="3"/>
    <n v="3"/>
    <n v="1"/>
    <n v="0"/>
    <n v="0"/>
    <n v="0"/>
    <s v="0-2 yrs"/>
  </r>
  <r>
    <n v="40"/>
    <x v="1"/>
    <s v="Travel_Rarely"/>
    <n v="1398"/>
    <x v="0"/>
    <n v="2"/>
    <n v="4"/>
    <s v="Life Sciences"/>
    <n v="1"/>
    <n v="558"/>
    <n v="3"/>
    <s v="Female"/>
    <n v="79"/>
    <n v="3"/>
    <n v="5"/>
    <s v="Manager"/>
    <x v="2"/>
    <s v="Married"/>
    <x v="406"/>
    <n v="13022"/>
    <n v="0"/>
    <s v="Y"/>
    <s v="No"/>
    <n v="14"/>
    <n v="3"/>
    <n v="4"/>
    <n v="80"/>
    <n v="0"/>
    <n v="21"/>
    <n v="2"/>
    <n v="3"/>
    <n v="20"/>
    <n v="15"/>
    <n v="1"/>
    <n v="12"/>
    <s v="5+ yrs"/>
  </r>
  <r>
    <n v="26"/>
    <x v="1"/>
    <s v="Travel_Rarely"/>
    <n v="1349"/>
    <x v="1"/>
    <n v="23"/>
    <n v="3"/>
    <s v="Life Sciences"/>
    <n v="1"/>
    <n v="560"/>
    <n v="1"/>
    <s v="Female"/>
    <n v="90"/>
    <n v="3"/>
    <n v="1"/>
    <s v="Research Scientist"/>
    <x v="0"/>
    <s v="Divorced"/>
    <x v="407"/>
    <n v="3032"/>
    <n v="1"/>
    <s v="Y"/>
    <s v="No"/>
    <n v="22"/>
    <n v="4"/>
    <n v="2"/>
    <n v="80"/>
    <n v="2"/>
    <n v="3"/>
    <n v="3"/>
    <n v="1"/>
    <n v="3"/>
    <n v="2"/>
    <n v="0"/>
    <n v="2"/>
    <s v="3-5 yrs"/>
  </r>
  <r>
    <n v="30"/>
    <x v="1"/>
    <s v="Non-Travel"/>
    <n v="1400"/>
    <x v="1"/>
    <n v="3"/>
    <n v="3"/>
    <s v="Life Sciences"/>
    <n v="1"/>
    <n v="562"/>
    <n v="3"/>
    <s v="Male"/>
    <n v="53"/>
    <n v="3"/>
    <n v="1"/>
    <s v="Laboratory Technician"/>
    <x v="0"/>
    <s v="Married"/>
    <x v="408"/>
    <n v="16734"/>
    <n v="4"/>
    <s v="Y"/>
    <s v="No"/>
    <n v="15"/>
    <n v="3"/>
    <n v="3"/>
    <n v="80"/>
    <n v="1"/>
    <n v="9"/>
    <n v="3"/>
    <n v="1"/>
    <n v="5"/>
    <n v="3"/>
    <n v="1"/>
    <n v="4"/>
    <s v="3-5 yrs"/>
  </r>
  <r>
    <n v="29"/>
    <x v="1"/>
    <s v="Travel_Rarely"/>
    <n v="986"/>
    <x v="1"/>
    <n v="3"/>
    <n v="4"/>
    <s v="Medical"/>
    <n v="1"/>
    <n v="564"/>
    <n v="2"/>
    <s v="Male"/>
    <n v="93"/>
    <n v="2"/>
    <n v="3"/>
    <s v="Research Director"/>
    <x v="2"/>
    <s v="Married"/>
    <x v="409"/>
    <n v="21526"/>
    <n v="1"/>
    <s v="Y"/>
    <s v="No"/>
    <n v="18"/>
    <n v="3"/>
    <n v="3"/>
    <n v="80"/>
    <n v="0"/>
    <n v="10"/>
    <n v="2"/>
    <n v="3"/>
    <n v="10"/>
    <n v="2"/>
    <n v="0"/>
    <n v="7"/>
    <s v="5+ yrs"/>
  </r>
  <r>
    <n v="29"/>
    <x v="0"/>
    <s v="Travel_Rarely"/>
    <n v="408"/>
    <x v="1"/>
    <n v="25"/>
    <n v="5"/>
    <s v="Technical Degree"/>
    <n v="1"/>
    <n v="565"/>
    <n v="3"/>
    <s v="Female"/>
    <n v="71"/>
    <n v="2"/>
    <n v="1"/>
    <s v="Research Scientist"/>
    <x v="1"/>
    <s v="Married"/>
    <x v="410"/>
    <n v="18300"/>
    <n v="5"/>
    <s v="Y"/>
    <s v="No"/>
    <n v="16"/>
    <n v="3"/>
    <n v="2"/>
    <n v="80"/>
    <n v="0"/>
    <n v="6"/>
    <n v="2"/>
    <n v="4"/>
    <n v="2"/>
    <n v="2"/>
    <n v="1"/>
    <n v="1"/>
    <s v="0-2 yrs"/>
  </r>
  <r>
    <n v="19"/>
    <x v="0"/>
    <s v="Travel_Rarely"/>
    <n v="489"/>
    <x v="2"/>
    <n v="2"/>
    <n v="2"/>
    <s v="Technical Degree"/>
    <n v="1"/>
    <n v="566"/>
    <n v="1"/>
    <s v="Male"/>
    <n v="52"/>
    <n v="2"/>
    <n v="1"/>
    <s v="Human Resources"/>
    <x v="0"/>
    <s v="Single"/>
    <x v="411"/>
    <n v="18437"/>
    <n v="1"/>
    <s v="Y"/>
    <s v="No"/>
    <n v="12"/>
    <n v="3"/>
    <n v="3"/>
    <n v="80"/>
    <n v="0"/>
    <n v="1"/>
    <n v="3"/>
    <n v="4"/>
    <n v="1"/>
    <n v="0"/>
    <n v="0"/>
    <n v="0"/>
    <s v="0-2 yrs"/>
  </r>
  <r>
    <n v="30"/>
    <x v="1"/>
    <s v="Non-Travel"/>
    <n v="1398"/>
    <x v="0"/>
    <n v="22"/>
    <n v="4"/>
    <s v="Other"/>
    <n v="1"/>
    <n v="567"/>
    <n v="3"/>
    <s v="Female"/>
    <n v="69"/>
    <n v="3"/>
    <n v="3"/>
    <s v="Sales Executive"/>
    <x v="3"/>
    <s v="Married"/>
    <x v="412"/>
    <n v="2890"/>
    <n v="0"/>
    <s v="Y"/>
    <s v="No"/>
    <n v="11"/>
    <n v="3"/>
    <n v="3"/>
    <n v="80"/>
    <n v="0"/>
    <n v="10"/>
    <n v="3"/>
    <n v="3"/>
    <n v="9"/>
    <n v="8"/>
    <n v="7"/>
    <n v="8"/>
    <s v="5+ yrs"/>
  </r>
  <r>
    <n v="57"/>
    <x v="1"/>
    <s v="Travel_Rarely"/>
    <n v="210"/>
    <x v="0"/>
    <n v="29"/>
    <n v="3"/>
    <s v="Marketing"/>
    <n v="1"/>
    <n v="568"/>
    <n v="1"/>
    <s v="Male"/>
    <n v="56"/>
    <n v="2"/>
    <n v="4"/>
    <s v="Manager"/>
    <x v="0"/>
    <s v="Divorced"/>
    <x v="413"/>
    <n v="22102"/>
    <n v="3"/>
    <s v="Y"/>
    <s v="No"/>
    <n v="12"/>
    <n v="3"/>
    <n v="3"/>
    <n v="80"/>
    <n v="1"/>
    <n v="32"/>
    <n v="3"/>
    <n v="2"/>
    <n v="1"/>
    <n v="0"/>
    <n v="0"/>
    <n v="0"/>
    <s v="0-2 yrs"/>
  </r>
  <r>
    <n v="50"/>
    <x v="1"/>
    <s v="Travel_Rarely"/>
    <n v="1099"/>
    <x v="1"/>
    <n v="29"/>
    <n v="4"/>
    <s v="Life Sciences"/>
    <n v="1"/>
    <n v="569"/>
    <n v="2"/>
    <s v="Male"/>
    <n v="88"/>
    <n v="2"/>
    <n v="4"/>
    <s v="Manager"/>
    <x v="2"/>
    <s v="Married"/>
    <x v="414"/>
    <n v="9314"/>
    <n v="0"/>
    <s v="Y"/>
    <s v="No"/>
    <n v="15"/>
    <n v="3"/>
    <n v="2"/>
    <n v="80"/>
    <n v="1"/>
    <n v="28"/>
    <n v="2"/>
    <n v="3"/>
    <n v="27"/>
    <n v="10"/>
    <n v="15"/>
    <n v="7"/>
    <s v="5+ yrs"/>
  </r>
  <r>
    <n v="30"/>
    <x v="1"/>
    <s v="Non-Travel"/>
    <n v="1116"/>
    <x v="1"/>
    <n v="2"/>
    <n v="3"/>
    <s v="Medical"/>
    <n v="1"/>
    <n v="571"/>
    <n v="3"/>
    <s v="Female"/>
    <n v="49"/>
    <n v="3"/>
    <n v="1"/>
    <s v="Laboratory Technician"/>
    <x v="0"/>
    <s v="Single"/>
    <x v="411"/>
    <n v="7181"/>
    <n v="0"/>
    <s v="Y"/>
    <s v="No"/>
    <n v="14"/>
    <n v="3"/>
    <n v="3"/>
    <n v="80"/>
    <n v="0"/>
    <n v="12"/>
    <n v="2"/>
    <n v="2"/>
    <n v="11"/>
    <n v="7"/>
    <n v="6"/>
    <n v="7"/>
    <s v="5+ yrs"/>
  </r>
  <r>
    <n v="60"/>
    <x v="1"/>
    <s v="Travel_Frequently"/>
    <n v="1499"/>
    <x v="0"/>
    <n v="28"/>
    <n v="3"/>
    <s v="Marketing"/>
    <n v="1"/>
    <n v="573"/>
    <n v="3"/>
    <s v="Female"/>
    <n v="80"/>
    <n v="2"/>
    <n v="3"/>
    <s v="Sales Executive"/>
    <x v="3"/>
    <s v="Married"/>
    <x v="415"/>
    <n v="2845"/>
    <n v="4"/>
    <s v="Y"/>
    <s v="No"/>
    <n v="19"/>
    <n v="3"/>
    <n v="4"/>
    <n v="80"/>
    <n v="0"/>
    <n v="22"/>
    <n v="5"/>
    <n v="4"/>
    <n v="18"/>
    <n v="13"/>
    <n v="13"/>
    <n v="11"/>
    <s v="5+ yrs"/>
  </r>
  <r>
    <n v="47"/>
    <x v="1"/>
    <s v="Travel_Rarely"/>
    <n v="983"/>
    <x v="1"/>
    <n v="2"/>
    <n v="2"/>
    <s v="Medical"/>
    <n v="1"/>
    <n v="574"/>
    <n v="1"/>
    <s v="Female"/>
    <n v="65"/>
    <n v="3"/>
    <n v="2"/>
    <s v="Manufacturing Director"/>
    <x v="0"/>
    <s v="Divorced"/>
    <x v="416"/>
    <n v="7389"/>
    <n v="5"/>
    <s v="Y"/>
    <s v="No"/>
    <n v="13"/>
    <n v="3"/>
    <n v="3"/>
    <n v="80"/>
    <n v="3"/>
    <n v="20"/>
    <n v="2"/>
    <n v="3"/>
    <n v="5"/>
    <n v="0"/>
    <n v="0"/>
    <n v="4"/>
    <s v="3-5 yrs"/>
  </r>
  <r>
    <n v="46"/>
    <x v="1"/>
    <s v="Travel_Rarely"/>
    <n v="1009"/>
    <x v="1"/>
    <n v="2"/>
    <n v="3"/>
    <s v="Life Sciences"/>
    <n v="1"/>
    <n v="575"/>
    <n v="1"/>
    <s v="Male"/>
    <n v="51"/>
    <n v="3"/>
    <n v="4"/>
    <s v="Research Director"/>
    <x v="2"/>
    <s v="Married"/>
    <x v="417"/>
    <n v="2288"/>
    <n v="6"/>
    <s v="Y"/>
    <s v="No"/>
    <n v="13"/>
    <n v="3"/>
    <n v="3"/>
    <n v="80"/>
    <n v="0"/>
    <n v="26"/>
    <n v="2"/>
    <n v="1"/>
    <n v="3"/>
    <n v="2"/>
    <n v="0"/>
    <n v="1"/>
    <s v="3-5 yrs"/>
  </r>
  <r>
    <n v="35"/>
    <x v="1"/>
    <s v="Travel_Rarely"/>
    <n v="144"/>
    <x v="1"/>
    <n v="22"/>
    <n v="3"/>
    <s v="Life Sciences"/>
    <n v="1"/>
    <n v="577"/>
    <n v="4"/>
    <s v="Male"/>
    <n v="46"/>
    <n v="1"/>
    <n v="1"/>
    <s v="Laboratory Technician"/>
    <x v="2"/>
    <s v="Single"/>
    <x v="418"/>
    <n v="19225"/>
    <n v="0"/>
    <s v="Y"/>
    <s v="No"/>
    <n v="15"/>
    <n v="3"/>
    <n v="3"/>
    <n v="80"/>
    <n v="0"/>
    <n v="6"/>
    <n v="2"/>
    <n v="3"/>
    <n v="5"/>
    <n v="4"/>
    <n v="4"/>
    <n v="3"/>
    <s v="3-5 yrs"/>
  </r>
  <r>
    <n v="54"/>
    <x v="1"/>
    <s v="Travel_Rarely"/>
    <n v="548"/>
    <x v="1"/>
    <n v="8"/>
    <n v="4"/>
    <s v="Life Sciences"/>
    <n v="1"/>
    <n v="578"/>
    <n v="3"/>
    <s v="Female"/>
    <n v="42"/>
    <n v="3"/>
    <n v="2"/>
    <s v="Laboratory Technician"/>
    <x v="2"/>
    <s v="Single"/>
    <x v="419"/>
    <n v="23428"/>
    <n v="7"/>
    <s v="Y"/>
    <s v="No"/>
    <n v="11"/>
    <n v="3"/>
    <n v="3"/>
    <n v="80"/>
    <n v="0"/>
    <n v="19"/>
    <n v="3"/>
    <n v="3"/>
    <n v="1"/>
    <n v="0"/>
    <n v="0"/>
    <n v="0"/>
    <s v="0-2 yrs"/>
  </r>
  <r>
    <n v="34"/>
    <x v="1"/>
    <s v="Travel_Rarely"/>
    <n v="1303"/>
    <x v="1"/>
    <n v="2"/>
    <n v="4"/>
    <s v="Life Sciences"/>
    <n v="1"/>
    <n v="579"/>
    <n v="4"/>
    <s v="Male"/>
    <n v="62"/>
    <n v="2"/>
    <n v="1"/>
    <s v="Research Scientist"/>
    <x v="2"/>
    <s v="Divorced"/>
    <x v="420"/>
    <n v="8416"/>
    <n v="3"/>
    <s v="Y"/>
    <s v="No"/>
    <n v="12"/>
    <n v="3"/>
    <n v="3"/>
    <n v="80"/>
    <n v="1"/>
    <n v="14"/>
    <n v="3"/>
    <n v="3"/>
    <n v="7"/>
    <n v="3"/>
    <n v="5"/>
    <n v="7"/>
    <s v="5+ yrs"/>
  </r>
  <r>
    <n v="46"/>
    <x v="1"/>
    <s v="Travel_Rarely"/>
    <n v="1125"/>
    <x v="0"/>
    <n v="10"/>
    <n v="3"/>
    <s v="Marketing"/>
    <n v="1"/>
    <n v="580"/>
    <n v="3"/>
    <s v="Female"/>
    <n v="94"/>
    <n v="2"/>
    <n v="3"/>
    <s v="Sales Executive"/>
    <x v="0"/>
    <s v="Married"/>
    <x v="421"/>
    <n v="11563"/>
    <n v="2"/>
    <s v="Y"/>
    <s v="Yes"/>
    <n v="19"/>
    <n v="3"/>
    <n v="3"/>
    <n v="80"/>
    <n v="1"/>
    <n v="15"/>
    <n v="3"/>
    <n v="3"/>
    <n v="3"/>
    <n v="2"/>
    <n v="1"/>
    <n v="2"/>
    <s v="3-5 yrs"/>
  </r>
  <r>
    <n v="31"/>
    <x v="1"/>
    <s v="Travel_Rarely"/>
    <n v="1274"/>
    <x v="1"/>
    <n v="9"/>
    <n v="1"/>
    <s v="Life Sciences"/>
    <n v="1"/>
    <n v="581"/>
    <n v="3"/>
    <s v="Male"/>
    <n v="33"/>
    <n v="3"/>
    <n v="3"/>
    <s v="Manufacturing Director"/>
    <x v="1"/>
    <s v="Divorced"/>
    <x v="422"/>
    <n v="14394"/>
    <n v="1"/>
    <s v="Y"/>
    <s v="No"/>
    <n v="25"/>
    <n v="4"/>
    <n v="4"/>
    <n v="80"/>
    <n v="1"/>
    <n v="13"/>
    <n v="6"/>
    <n v="4"/>
    <n v="13"/>
    <n v="8"/>
    <n v="0"/>
    <n v="8"/>
    <s v="5+ yrs"/>
  </r>
  <r>
    <n v="33"/>
    <x v="0"/>
    <s v="Travel_Rarely"/>
    <n v="1277"/>
    <x v="1"/>
    <n v="15"/>
    <n v="1"/>
    <s v="Medical"/>
    <n v="1"/>
    <n v="582"/>
    <n v="2"/>
    <s v="Male"/>
    <n v="56"/>
    <n v="3"/>
    <n v="3"/>
    <s v="Manager"/>
    <x v="2"/>
    <s v="Married"/>
    <x v="423"/>
    <n v="24619"/>
    <n v="7"/>
    <s v="Y"/>
    <s v="Yes"/>
    <n v="12"/>
    <n v="3"/>
    <n v="4"/>
    <n v="80"/>
    <n v="0"/>
    <n v="15"/>
    <n v="2"/>
    <n v="4"/>
    <n v="7"/>
    <n v="6"/>
    <n v="7"/>
    <n v="7"/>
    <s v="5+ yrs"/>
  </r>
  <r>
    <n v="33"/>
    <x v="0"/>
    <s v="Travel_Rarely"/>
    <n v="587"/>
    <x v="1"/>
    <n v="10"/>
    <n v="1"/>
    <s v="Medical"/>
    <n v="1"/>
    <n v="584"/>
    <n v="1"/>
    <s v="Male"/>
    <n v="38"/>
    <n v="1"/>
    <n v="1"/>
    <s v="Laboratory Technician"/>
    <x v="0"/>
    <s v="Divorced"/>
    <x v="424"/>
    <n v="6705"/>
    <n v="7"/>
    <s v="Y"/>
    <s v="No"/>
    <n v="13"/>
    <n v="3"/>
    <n v="1"/>
    <n v="80"/>
    <n v="3"/>
    <n v="8"/>
    <n v="2"/>
    <n v="3"/>
    <n v="4"/>
    <n v="3"/>
    <n v="1"/>
    <n v="3"/>
    <s v="3-5 yrs"/>
  </r>
  <r>
    <n v="30"/>
    <x v="1"/>
    <s v="Travel_Rarely"/>
    <n v="413"/>
    <x v="0"/>
    <n v="7"/>
    <n v="1"/>
    <s v="Marketing"/>
    <n v="1"/>
    <n v="585"/>
    <n v="4"/>
    <s v="Male"/>
    <n v="57"/>
    <n v="3"/>
    <n v="1"/>
    <s v="Sales Representative"/>
    <x v="1"/>
    <s v="Single"/>
    <x v="425"/>
    <n v="18398"/>
    <n v="0"/>
    <s v="Y"/>
    <s v="No"/>
    <n v="14"/>
    <n v="3"/>
    <n v="1"/>
    <n v="80"/>
    <n v="0"/>
    <n v="4"/>
    <n v="3"/>
    <n v="3"/>
    <n v="3"/>
    <n v="2"/>
    <n v="1"/>
    <n v="2"/>
    <s v="3-5 yrs"/>
  </r>
  <r>
    <n v="35"/>
    <x v="1"/>
    <s v="Travel_Rarely"/>
    <n v="1276"/>
    <x v="1"/>
    <n v="16"/>
    <n v="3"/>
    <s v="Life Sciences"/>
    <n v="1"/>
    <n v="586"/>
    <n v="4"/>
    <s v="Male"/>
    <n v="72"/>
    <n v="3"/>
    <n v="3"/>
    <s v="Healthcare Representative"/>
    <x v="2"/>
    <s v="Married"/>
    <x v="426"/>
    <n v="14295"/>
    <n v="4"/>
    <s v="Y"/>
    <s v="Yes"/>
    <n v="12"/>
    <n v="3"/>
    <n v="3"/>
    <n v="80"/>
    <n v="0"/>
    <n v="10"/>
    <n v="2"/>
    <n v="3"/>
    <n v="8"/>
    <n v="7"/>
    <n v="0"/>
    <n v="0"/>
    <s v="5+ yrs"/>
  </r>
  <r>
    <n v="31"/>
    <x v="0"/>
    <s v="Travel_Frequently"/>
    <n v="534"/>
    <x v="1"/>
    <n v="20"/>
    <n v="3"/>
    <s v="Life Sciences"/>
    <n v="1"/>
    <n v="587"/>
    <n v="1"/>
    <s v="Male"/>
    <n v="66"/>
    <n v="3"/>
    <n v="3"/>
    <s v="Healthcare Representative"/>
    <x v="2"/>
    <s v="Married"/>
    <x v="427"/>
    <n v="22908"/>
    <n v="3"/>
    <s v="Y"/>
    <s v="No"/>
    <n v="12"/>
    <n v="3"/>
    <n v="1"/>
    <n v="80"/>
    <n v="0"/>
    <n v="12"/>
    <n v="2"/>
    <n v="3"/>
    <n v="1"/>
    <n v="0"/>
    <n v="0"/>
    <n v="0"/>
    <s v="0-2 yrs"/>
  </r>
  <r>
    <n v="34"/>
    <x v="0"/>
    <s v="Travel_Frequently"/>
    <n v="988"/>
    <x v="2"/>
    <n v="23"/>
    <n v="3"/>
    <s v="Human Resources"/>
    <n v="1"/>
    <n v="590"/>
    <n v="2"/>
    <s v="Female"/>
    <n v="43"/>
    <n v="3"/>
    <n v="3"/>
    <s v="Human Resources"/>
    <x v="3"/>
    <s v="Divorced"/>
    <x v="428"/>
    <n v="11533"/>
    <n v="9"/>
    <s v="Y"/>
    <s v="Yes"/>
    <n v="15"/>
    <n v="3"/>
    <n v="3"/>
    <n v="80"/>
    <n v="3"/>
    <n v="11"/>
    <n v="2"/>
    <n v="3"/>
    <n v="3"/>
    <n v="2"/>
    <n v="0"/>
    <n v="2"/>
    <s v="3-5 yrs"/>
  </r>
  <r>
    <n v="42"/>
    <x v="1"/>
    <s v="Travel_Frequently"/>
    <n v="1474"/>
    <x v="1"/>
    <n v="5"/>
    <n v="2"/>
    <s v="Other"/>
    <n v="1"/>
    <n v="591"/>
    <n v="2"/>
    <s v="Male"/>
    <n v="97"/>
    <n v="3"/>
    <n v="1"/>
    <s v="Laboratory Technician"/>
    <x v="2"/>
    <s v="Married"/>
    <x v="429"/>
    <n v="9260"/>
    <n v="4"/>
    <s v="Y"/>
    <s v="No"/>
    <n v="17"/>
    <n v="3"/>
    <n v="4"/>
    <n v="80"/>
    <n v="1"/>
    <n v="8"/>
    <n v="4"/>
    <n v="3"/>
    <n v="2"/>
    <n v="2"/>
    <n v="2"/>
    <n v="0"/>
    <s v="0-2 yrs"/>
  </r>
  <r>
    <n v="36"/>
    <x v="1"/>
    <s v="Non-Travel"/>
    <n v="635"/>
    <x v="0"/>
    <n v="10"/>
    <n v="4"/>
    <s v="Medical"/>
    <n v="1"/>
    <n v="592"/>
    <n v="2"/>
    <s v="Male"/>
    <n v="32"/>
    <n v="3"/>
    <n v="3"/>
    <s v="Sales Executive"/>
    <x v="0"/>
    <s v="Single"/>
    <x v="15"/>
    <n v="15318"/>
    <n v="1"/>
    <s v="Y"/>
    <s v="No"/>
    <n v="14"/>
    <n v="3"/>
    <n v="4"/>
    <n v="80"/>
    <n v="0"/>
    <n v="10"/>
    <n v="3"/>
    <n v="2"/>
    <n v="10"/>
    <n v="3"/>
    <n v="9"/>
    <n v="7"/>
    <s v="5+ yrs"/>
  </r>
  <r>
    <n v="22"/>
    <x v="0"/>
    <s v="Travel_Frequently"/>
    <n v="1368"/>
    <x v="1"/>
    <n v="4"/>
    <n v="1"/>
    <s v="Technical Degree"/>
    <n v="1"/>
    <n v="593"/>
    <n v="3"/>
    <s v="Male"/>
    <n v="99"/>
    <n v="2"/>
    <n v="1"/>
    <s v="Laboratory Technician"/>
    <x v="2"/>
    <s v="Single"/>
    <x v="430"/>
    <n v="9129"/>
    <n v="5"/>
    <s v="Y"/>
    <s v="No"/>
    <n v="16"/>
    <n v="3"/>
    <n v="3"/>
    <n v="80"/>
    <n v="0"/>
    <n v="4"/>
    <n v="3"/>
    <n v="3"/>
    <n v="2"/>
    <n v="2"/>
    <n v="1"/>
    <n v="2"/>
    <s v="0-2 yrs"/>
  </r>
  <r>
    <n v="48"/>
    <x v="1"/>
    <s v="Travel_Rarely"/>
    <n v="163"/>
    <x v="0"/>
    <n v="2"/>
    <n v="5"/>
    <s v="Marketing"/>
    <n v="1"/>
    <n v="595"/>
    <n v="2"/>
    <s v="Female"/>
    <n v="37"/>
    <n v="3"/>
    <n v="2"/>
    <s v="Sales Executive"/>
    <x v="0"/>
    <s v="Married"/>
    <x v="431"/>
    <n v="19658"/>
    <n v="2"/>
    <s v="Y"/>
    <s v="No"/>
    <n v="14"/>
    <n v="3"/>
    <n v="1"/>
    <n v="80"/>
    <n v="1"/>
    <n v="14"/>
    <n v="2"/>
    <n v="3"/>
    <n v="9"/>
    <n v="7"/>
    <n v="6"/>
    <n v="7"/>
    <s v="5+ yrs"/>
  </r>
  <r>
    <n v="55"/>
    <x v="1"/>
    <s v="Travel_Rarely"/>
    <n v="1117"/>
    <x v="0"/>
    <n v="18"/>
    <n v="5"/>
    <s v="Life Sciences"/>
    <n v="1"/>
    <n v="597"/>
    <n v="1"/>
    <s v="Female"/>
    <n v="83"/>
    <n v="3"/>
    <n v="4"/>
    <s v="Manager"/>
    <x v="1"/>
    <s v="Single"/>
    <x v="432"/>
    <n v="9873"/>
    <n v="3"/>
    <s v="Y"/>
    <s v="No"/>
    <n v="23"/>
    <n v="4"/>
    <n v="4"/>
    <n v="80"/>
    <n v="0"/>
    <n v="37"/>
    <n v="2"/>
    <n v="3"/>
    <n v="10"/>
    <n v="9"/>
    <n v="7"/>
    <n v="7"/>
    <s v="5+ yrs"/>
  </r>
  <r>
    <n v="41"/>
    <x v="1"/>
    <s v="Non-Travel"/>
    <n v="267"/>
    <x v="0"/>
    <n v="10"/>
    <n v="2"/>
    <s v="Life Sciences"/>
    <n v="1"/>
    <n v="599"/>
    <n v="4"/>
    <s v="Male"/>
    <n v="56"/>
    <n v="3"/>
    <n v="2"/>
    <s v="Sales Executive"/>
    <x v="0"/>
    <s v="Single"/>
    <x v="433"/>
    <n v="13430"/>
    <n v="7"/>
    <s v="Y"/>
    <s v="No"/>
    <n v="14"/>
    <n v="3"/>
    <n v="4"/>
    <n v="80"/>
    <n v="0"/>
    <n v="16"/>
    <n v="3"/>
    <n v="3"/>
    <n v="14"/>
    <n v="3"/>
    <n v="1"/>
    <n v="10"/>
    <s v="5+ yrs"/>
  </r>
  <r>
    <n v="35"/>
    <x v="1"/>
    <s v="Travel_Rarely"/>
    <n v="619"/>
    <x v="0"/>
    <n v="1"/>
    <n v="3"/>
    <s v="Marketing"/>
    <n v="1"/>
    <n v="600"/>
    <n v="2"/>
    <s v="Male"/>
    <n v="85"/>
    <n v="3"/>
    <n v="2"/>
    <s v="Sales Executive"/>
    <x v="2"/>
    <s v="Married"/>
    <x v="434"/>
    <n v="18659"/>
    <n v="9"/>
    <s v="Y"/>
    <s v="No"/>
    <n v="11"/>
    <n v="3"/>
    <n v="3"/>
    <n v="80"/>
    <n v="0"/>
    <n v="15"/>
    <n v="2"/>
    <n v="3"/>
    <n v="11"/>
    <n v="9"/>
    <n v="6"/>
    <n v="9"/>
    <s v="5+ yrs"/>
  </r>
  <r>
    <n v="40"/>
    <x v="1"/>
    <s v="Travel_Rarely"/>
    <n v="302"/>
    <x v="1"/>
    <n v="6"/>
    <n v="3"/>
    <s v="Life Sciences"/>
    <n v="1"/>
    <n v="601"/>
    <n v="2"/>
    <s v="Female"/>
    <n v="75"/>
    <n v="3"/>
    <n v="4"/>
    <s v="Manufacturing Director"/>
    <x v="2"/>
    <s v="Single"/>
    <x v="435"/>
    <n v="20364"/>
    <n v="7"/>
    <s v="Y"/>
    <s v="No"/>
    <n v="15"/>
    <n v="3"/>
    <n v="3"/>
    <n v="80"/>
    <n v="0"/>
    <n v="22"/>
    <n v="3"/>
    <n v="3"/>
    <n v="20"/>
    <n v="6"/>
    <n v="5"/>
    <n v="13"/>
    <s v="5+ yrs"/>
  </r>
  <r>
    <n v="39"/>
    <x v="1"/>
    <s v="Travel_Frequently"/>
    <n v="443"/>
    <x v="1"/>
    <n v="8"/>
    <n v="1"/>
    <s v="Life Sciences"/>
    <n v="1"/>
    <n v="602"/>
    <n v="3"/>
    <s v="Female"/>
    <n v="48"/>
    <n v="3"/>
    <n v="1"/>
    <s v="Laboratory Technician"/>
    <x v="2"/>
    <s v="Married"/>
    <x v="436"/>
    <n v="17872"/>
    <n v="1"/>
    <s v="Y"/>
    <s v="No"/>
    <n v="11"/>
    <n v="3"/>
    <n v="1"/>
    <n v="80"/>
    <n v="1"/>
    <n v="8"/>
    <n v="3"/>
    <n v="3"/>
    <n v="8"/>
    <n v="3"/>
    <n v="0"/>
    <n v="7"/>
    <s v="5+ yrs"/>
  </r>
  <r>
    <n v="31"/>
    <x v="1"/>
    <s v="Travel_Rarely"/>
    <n v="828"/>
    <x v="0"/>
    <n v="2"/>
    <n v="1"/>
    <s v="Life Sciences"/>
    <n v="1"/>
    <n v="604"/>
    <n v="2"/>
    <s v="Male"/>
    <n v="77"/>
    <n v="3"/>
    <n v="2"/>
    <s v="Sales Executive"/>
    <x v="0"/>
    <s v="Single"/>
    <x v="437"/>
    <n v="8346"/>
    <n v="4"/>
    <s v="Y"/>
    <s v="Yes"/>
    <n v="13"/>
    <n v="3"/>
    <n v="3"/>
    <n v="80"/>
    <n v="0"/>
    <n v="10"/>
    <n v="2"/>
    <n v="4"/>
    <n v="6"/>
    <n v="5"/>
    <n v="0"/>
    <n v="5"/>
    <s v="5+ yrs"/>
  </r>
  <r>
    <n v="42"/>
    <x v="1"/>
    <s v="Travel_Rarely"/>
    <n v="319"/>
    <x v="1"/>
    <n v="24"/>
    <n v="3"/>
    <s v="Medical"/>
    <n v="1"/>
    <n v="605"/>
    <n v="4"/>
    <s v="Male"/>
    <n v="56"/>
    <n v="3"/>
    <n v="3"/>
    <s v="Manufacturing Director"/>
    <x v="3"/>
    <s v="Married"/>
    <x v="438"/>
    <n v="6950"/>
    <n v="1"/>
    <s v="Y"/>
    <s v="Yes"/>
    <n v="21"/>
    <n v="4"/>
    <n v="4"/>
    <n v="80"/>
    <n v="1"/>
    <n v="10"/>
    <n v="5"/>
    <n v="2"/>
    <n v="10"/>
    <n v="9"/>
    <n v="5"/>
    <n v="8"/>
    <s v="5+ yrs"/>
  </r>
  <r>
    <n v="45"/>
    <x v="1"/>
    <s v="Travel_Rarely"/>
    <n v="561"/>
    <x v="0"/>
    <n v="2"/>
    <n v="3"/>
    <s v="Other"/>
    <n v="1"/>
    <n v="606"/>
    <n v="4"/>
    <s v="Male"/>
    <n v="61"/>
    <n v="3"/>
    <n v="2"/>
    <s v="Sales Executive"/>
    <x v="1"/>
    <s v="Married"/>
    <x v="439"/>
    <n v="16177"/>
    <n v="0"/>
    <s v="Y"/>
    <s v="No"/>
    <n v="19"/>
    <n v="3"/>
    <n v="2"/>
    <n v="80"/>
    <n v="1"/>
    <n v="9"/>
    <n v="3"/>
    <n v="4"/>
    <n v="8"/>
    <n v="7"/>
    <n v="3"/>
    <n v="7"/>
    <s v="5+ yrs"/>
  </r>
  <r>
    <n v="26"/>
    <x v="0"/>
    <s v="Travel_Frequently"/>
    <n v="426"/>
    <x v="2"/>
    <n v="17"/>
    <n v="4"/>
    <s v="Life Sciences"/>
    <n v="1"/>
    <n v="608"/>
    <n v="2"/>
    <s v="Female"/>
    <n v="58"/>
    <n v="3"/>
    <n v="1"/>
    <s v="Human Resources"/>
    <x v="2"/>
    <s v="Divorced"/>
    <x v="199"/>
    <n v="22808"/>
    <n v="0"/>
    <s v="Y"/>
    <s v="Yes"/>
    <n v="11"/>
    <n v="3"/>
    <n v="2"/>
    <n v="80"/>
    <n v="1"/>
    <n v="8"/>
    <n v="2"/>
    <n v="2"/>
    <n v="7"/>
    <n v="7"/>
    <n v="1"/>
    <n v="0"/>
    <s v="5+ yrs"/>
  </r>
  <r>
    <n v="29"/>
    <x v="1"/>
    <s v="Travel_Rarely"/>
    <n v="232"/>
    <x v="1"/>
    <n v="19"/>
    <n v="3"/>
    <s v="Technical Degree"/>
    <n v="1"/>
    <n v="611"/>
    <n v="4"/>
    <s v="Male"/>
    <n v="34"/>
    <n v="3"/>
    <n v="2"/>
    <s v="Manufacturing Director"/>
    <x v="0"/>
    <s v="Divorced"/>
    <x v="440"/>
    <n v="22645"/>
    <n v="4"/>
    <s v="Y"/>
    <s v="No"/>
    <n v="12"/>
    <n v="3"/>
    <n v="2"/>
    <n v="80"/>
    <n v="2"/>
    <n v="8"/>
    <n v="2"/>
    <n v="4"/>
    <n v="3"/>
    <n v="2"/>
    <n v="1"/>
    <n v="2"/>
    <s v="3-5 yrs"/>
  </r>
  <r>
    <n v="33"/>
    <x v="1"/>
    <s v="Travel_Rarely"/>
    <n v="922"/>
    <x v="1"/>
    <n v="1"/>
    <n v="5"/>
    <s v="Medical"/>
    <n v="1"/>
    <n v="612"/>
    <n v="1"/>
    <s v="Female"/>
    <n v="95"/>
    <n v="4"/>
    <n v="4"/>
    <s v="Research Director"/>
    <x v="2"/>
    <s v="Divorced"/>
    <x v="441"/>
    <n v="22578"/>
    <n v="4"/>
    <s v="Y"/>
    <s v="No"/>
    <n v="19"/>
    <n v="3"/>
    <n v="3"/>
    <n v="80"/>
    <n v="1"/>
    <n v="10"/>
    <n v="2"/>
    <n v="3"/>
    <n v="6"/>
    <n v="1"/>
    <n v="0"/>
    <n v="5"/>
    <s v="5+ yrs"/>
  </r>
  <r>
    <n v="31"/>
    <x v="1"/>
    <s v="Travel_Rarely"/>
    <n v="688"/>
    <x v="0"/>
    <n v="7"/>
    <n v="3"/>
    <s v="Life Sciences"/>
    <n v="1"/>
    <n v="613"/>
    <n v="3"/>
    <s v="Male"/>
    <n v="44"/>
    <n v="2"/>
    <n v="3"/>
    <s v="Manager"/>
    <x v="0"/>
    <s v="Divorced"/>
    <x v="442"/>
    <n v="25291"/>
    <n v="9"/>
    <s v="Y"/>
    <s v="No"/>
    <n v="21"/>
    <n v="4"/>
    <n v="3"/>
    <n v="80"/>
    <n v="1"/>
    <n v="10"/>
    <n v="3"/>
    <n v="2"/>
    <n v="5"/>
    <n v="4"/>
    <n v="0"/>
    <n v="1"/>
    <s v="3-5 yrs"/>
  </r>
  <r>
    <n v="18"/>
    <x v="0"/>
    <s v="Travel_Frequently"/>
    <n v="1306"/>
    <x v="0"/>
    <n v="5"/>
    <n v="3"/>
    <s v="Marketing"/>
    <n v="1"/>
    <n v="614"/>
    <n v="2"/>
    <s v="Male"/>
    <n v="69"/>
    <n v="3"/>
    <n v="1"/>
    <s v="Sales Representative"/>
    <x v="1"/>
    <s v="Single"/>
    <x v="443"/>
    <n v="8059"/>
    <n v="1"/>
    <s v="Y"/>
    <s v="Yes"/>
    <n v="14"/>
    <n v="3"/>
    <n v="4"/>
    <n v="80"/>
    <n v="0"/>
    <n v="0"/>
    <n v="3"/>
    <n v="3"/>
    <n v="0"/>
    <n v="0"/>
    <n v="0"/>
    <n v="0"/>
    <s v="0-2 yrs"/>
  </r>
  <r>
    <n v="40"/>
    <x v="1"/>
    <s v="Non-Travel"/>
    <n v="1094"/>
    <x v="0"/>
    <n v="28"/>
    <n v="3"/>
    <s v="Other"/>
    <n v="1"/>
    <n v="615"/>
    <n v="3"/>
    <s v="Male"/>
    <n v="58"/>
    <n v="1"/>
    <n v="3"/>
    <s v="Sales Executive"/>
    <x v="3"/>
    <s v="Divorced"/>
    <x v="444"/>
    <n v="11373"/>
    <n v="3"/>
    <s v="Y"/>
    <s v="No"/>
    <n v="15"/>
    <n v="3"/>
    <n v="3"/>
    <n v="80"/>
    <n v="1"/>
    <n v="20"/>
    <n v="2"/>
    <n v="3"/>
    <n v="1"/>
    <n v="0"/>
    <n v="0"/>
    <n v="1"/>
    <s v="0-2 yrs"/>
  </r>
  <r>
    <n v="41"/>
    <x v="1"/>
    <s v="Non-Travel"/>
    <n v="509"/>
    <x v="1"/>
    <n v="2"/>
    <n v="4"/>
    <s v="Other"/>
    <n v="1"/>
    <n v="616"/>
    <n v="1"/>
    <s v="Female"/>
    <n v="62"/>
    <n v="2"/>
    <n v="2"/>
    <s v="Healthcare Representative"/>
    <x v="2"/>
    <s v="Single"/>
    <x v="445"/>
    <n v="2112"/>
    <n v="2"/>
    <s v="Y"/>
    <s v="Yes"/>
    <n v="17"/>
    <n v="3"/>
    <n v="1"/>
    <n v="80"/>
    <n v="0"/>
    <n v="10"/>
    <n v="3"/>
    <n v="3"/>
    <n v="8"/>
    <n v="7"/>
    <n v="0"/>
    <n v="7"/>
    <s v="5+ yrs"/>
  </r>
  <r>
    <n v="26"/>
    <x v="1"/>
    <s v="Travel_Rarely"/>
    <n v="775"/>
    <x v="0"/>
    <n v="29"/>
    <n v="2"/>
    <s v="Medical"/>
    <n v="1"/>
    <n v="618"/>
    <n v="1"/>
    <s v="Male"/>
    <n v="45"/>
    <n v="3"/>
    <n v="2"/>
    <s v="Sales Executive"/>
    <x v="2"/>
    <s v="Divorced"/>
    <x v="383"/>
    <n v="4267"/>
    <n v="5"/>
    <s v="Y"/>
    <s v="No"/>
    <n v="12"/>
    <n v="3"/>
    <n v="1"/>
    <n v="80"/>
    <n v="2"/>
    <n v="8"/>
    <n v="5"/>
    <n v="3"/>
    <n v="0"/>
    <n v="0"/>
    <n v="0"/>
    <n v="0"/>
    <s v="0-2 yrs"/>
  </r>
  <r>
    <n v="35"/>
    <x v="1"/>
    <s v="Travel_Rarely"/>
    <n v="195"/>
    <x v="0"/>
    <n v="1"/>
    <n v="3"/>
    <s v="Medical"/>
    <n v="1"/>
    <n v="620"/>
    <n v="1"/>
    <s v="Female"/>
    <n v="80"/>
    <n v="3"/>
    <n v="2"/>
    <s v="Sales Executive"/>
    <x v="2"/>
    <s v="Single"/>
    <x v="446"/>
    <n v="6698"/>
    <n v="1"/>
    <s v="Y"/>
    <s v="No"/>
    <n v="16"/>
    <n v="3"/>
    <n v="4"/>
    <n v="80"/>
    <n v="0"/>
    <n v="5"/>
    <n v="3"/>
    <n v="3"/>
    <n v="5"/>
    <n v="4"/>
    <n v="0"/>
    <n v="3"/>
    <s v="3-5 yrs"/>
  </r>
  <r>
    <n v="34"/>
    <x v="1"/>
    <s v="Travel_Rarely"/>
    <n v="258"/>
    <x v="0"/>
    <n v="21"/>
    <n v="4"/>
    <s v="Life Sciences"/>
    <n v="1"/>
    <n v="621"/>
    <n v="4"/>
    <s v="Male"/>
    <n v="74"/>
    <n v="4"/>
    <n v="2"/>
    <s v="Sales Executive"/>
    <x v="0"/>
    <s v="Single"/>
    <x v="447"/>
    <n v="19921"/>
    <n v="1"/>
    <s v="Y"/>
    <s v="No"/>
    <n v="12"/>
    <n v="3"/>
    <n v="4"/>
    <n v="80"/>
    <n v="0"/>
    <n v="10"/>
    <n v="3"/>
    <n v="3"/>
    <n v="10"/>
    <n v="7"/>
    <n v="5"/>
    <n v="7"/>
    <s v="5+ yrs"/>
  </r>
  <r>
    <n v="26"/>
    <x v="0"/>
    <s v="Travel_Rarely"/>
    <n v="471"/>
    <x v="1"/>
    <n v="24"/>
    <n v="3"/>
    <s v="Technical Degree"/>
    <n v="1"/>
    <n v="622"/>
    <n v="3"/>
    <s v="Male"/>
    <n v="66"/>
    <n v="1"/>
    <n v="1"/>
    <s v="Laboratory Technician"/>
    <x v="0"/>
    <s v="Single"/>
    <x v="246"/>
    <n v="23213"/>
    <n v="1"/>
    <s v="Y"/>
    <s v="Yes"/>
    <n v="18"/>
    <n v="3"/>
    <n v="2"/>
    <n v="80"/>
    <n v="0"/>
    <n v="1"/>
    <n v="3"/>
    <n v="1"/>
    <n v="1"/>
    <n v="0"/>
    <n v="0"/>
    <n v="0"/>
    <s v="0-2 yrs"/>
  </r>
  <r>
    <n v="37"/>
    <x v="1"/>
    <s v="Travel_Rarely"/>
    <n v="799"/>
    <x v="1"/>
    <n v="1"/>
    <n v="3"/>
    <s v="Technical Degree"/>
    <n v="1"/>
    <n v="623"/>
    <n v="2"/>
    <s v="Female"/>
    <n v="59"/>
    <n v="3"/>
    <n v="3"/>
    <s v="Manufacturing Director"/>
    <x v="0"/>
    <s v="Single"/>
    <x v="448"/>
    <n v="23848"/>
    <n v="4"/>
    <s v="Y"/>
    <s v="No"/>
    <n v="17"/>
    <n v="3"/>
    <n v="4"/>
    <n v="80"/>
    <n v="0"/>
    <n v="12"/>
    <n v="3"/>
    <n v="4"/>
    <n v="6"/>
    <n v="5"/>
    <n v="1"/>
    <n v="2"/>
    <s v="5+ yrs"/>
  </r>
  <r>
    <n v="46"/>
    <x v="1"/>
    <s v="Travel_Frequently"/>
    <n v="1034"/>
    <x v="1"/>
    <n v="18"/>
    <n v="1"/>
    <s v="Medical"/>
    <n v="1"/>
    <n v="624"/>
    <n v="1"/>
    <s v="Female"/>
    <n v="86"/>
    <n v="3"/>
    <n v="3"/>
    <s v="Healthcare Representative"/>
    <x v="2"/>
    <s v="Married"/>
    <x v="449"/>
    <n v="8984"/>
    <n v="5"/>
    <s v="Y"/>
    <s v="No"/>
    <n v="11"/>
    <n v="3"/>
    <n v="4"/>
    <n v="80"/>
    <n v="0"/>
    <n v="28"/>
    <n v="3"/>
    <n v="2"/>
    <n v="2"/>
    <n v="2"/>
    <n v="1"/>
    <n v="2"/>
    <s v="0-2 yrs"/>
  </r>
  <r>
    <n v="41"/>
    <x v="1"/>
    <s v="Travel_Rarely"/>
    <n v="1276"/>
    <x v="0"/>
    <n v="2"/>
    <n v="5"/>
    <s v="Life Sciences"/>
    <n v="1"/>
    <n v="625"/>
    <n v="2"/>
    <s v="Female"/>
    <n v="91"/>
    <n v="3"/>
    <n v="4"/>
    <s v="Manager"/>
    <x v="3"/>
    <s v="Married"/>
    <x v="450"/>
    <n v="5626"/>
    <n v="7"/>
    <s v="Y"/>
    <s v="No"/>
    <n v="16"/>
    <n v="3"/>
    <n v="2"/>
    <n v="80"/>
    <n v="1"/>
    <n v="22"/>
    <n v="2"/>
    <n v="3"/>
    <n v="18"/>
    <n v="16"/>
    <n v="11"/>
    <n v="8"/>
    <s v="5+ yrs"/>
  </r>
  <r>
    <n v="37"/>
    <x v="1"/>
    <s v="Non-Travel"/>
    <n v="142"/>
    <x v="0"/>
    <n v="9"/>
    <n v="4"/>
    <s v="Medical"/>
    <n v="1"/>
    <n v="626"/>
    <n v="1"/>
    <s v="Male"/>
    <n v="69"/>
    <n v="3"/>
    <n v="3"/>
    <s v="Sales Executive"/>
    <x v="1"/>
    <s v="Divorced"/>
    <x v="451"/>
    <n v="24666"/>
    <n v="1"/>
    <s v="Y"/>
    <s v="No"/>
    <n v="13"/>
    <n v="3"/>
    <n v="4"/>
    <n v="80"/>
    <n v="1"/>
    <n v="9"/>
    <n v="6"/>
    <n v="3"/>
    <n v="9"/>
    <n v="5"/>
    <n v="7"/>
    <n v="7"/>
    <s v="5+ yrs"/>
  </r>
  <r>
    <n v="52"/>
    <x v="1"/>
    <s v="Travel_Rarely"/>
    <n v="956"/>
    <x v="1"/>
    <n v="6"/>
    <n v="2"/>
    <s v="Technical Degree"/>
    <n v="1"/>
    <n v="630"/>
    <n v="4"/>
    <s v="Male"/>
    <n v="78"/>
    <n v="3"/>
    <n v="2"/>
    <s v="Research Scientist"/>
    <x v="3"/>
    <s v="Divorced"/>
    <x v="452"/>
    <n v="22087"/>
    <n v="3"/>
    <s v="Y"/>
    <s v="Yes"/>
    <n v="12"/>
    <n v="3"/>
    <n v="2"/>
    <n v="80"/>
    <n v="2"/>
    <n v="18"/>
    <n v="3"/>
    <n v="3"/>
    <n v="10"/>
    <n v="9"/>
    <n v="6"/>
    <n v="9"/>
    <s v="5+ yrs"/>
  </r>
  <r>
    <n v="32"/>
    <x v="0"/>
    <s v="Non-Travel"/>
    <n v="1474"/>
    <x v="0"/>
    <n v="11"/>
    <n v="4"/>
    <s v="Other"/>
    <n v="1"/>
    <n v="631"/>
    <n v="4"/>
    <s v="Male"/>
    <n v="60"/>
    <n v="4"/>
    <n v="2"/>
    <s v="Sales Executive"/>
    <x v="2"/>
    <s v="Married"/>
    <x v="453"/>
    <n v="23914"/>
    <n v="8"/>
    <s v="Y"/>
    <s v="No"/>
    <n v="12"/>
    <n v="3"/>
    <n v="4"/>
    <n v="80"/>
    <n v="0"/>
    <n v="6"/>
    <n v="2"/>
    <n v="3"/>
    <n v="4"/>
    <n v="2"/>
    <n v="1"/>
    <n v="2"/>
    <s v="3-5 yrs"/>
  </r>
  <r>
    <n v="24"/>
    <x v="1"/>
    <s v="Travel_Frequently"/>
    <n v="535"/>
    <x v="0"/>
    <n v="24"/>
    <n v="3"/>
    <s v="Medical"/>
    <n v="1"/>
    <n v="632"/>
    <n v="4"/>
    <s v="Male"/>
    <n v="38"/>
    <n v="3"/>
    <n v="1"/>
    <s v="Sales Representative"/>
    <x v="0"/>
    <s v="Married"/>
    <x v="454"/>
    <n v="5530"/>
    <n v="0"/>
    <s v="Y"/>
    <s v="No"/>
    <n v="13"/>
    <n v="3"/>
    <n v="3"/>
    <n v="80"/>
    <n v="2"/>
    <n v="3"/>
    <n v="3"/>
    <n v="3"/>
    <n v="2"/>
    <n v="2"/>
    <n v="2"/>
    <n v="1"/>
    <s v="0-2 yrs"/>
  </r>
  <r>
    <n v="38"/>
    <x v="1"/>
    <s v="Travel_Rarely"/>
    <n v="1495"/>
    <x v="1"/>
    <n v="10"/>
    <n v="3"/>
    <s v="Medical"/>
    <n v="1"/>
    <n v="634"/>
    <n v="3"/>
    <s v="Female"/>
    <n v="76"/>
    <n v="3"/>
    <n v="2"/>
    <s v="Healthcare Representative"/>
    <x v="2"/>
    <s v="Married"/>
    <x v="427"/>
    <n v="22174"/>
    <n v="3"/>
    <s v="Y"/>
    <s v="No"/>
    <n v="19"/>
    <n v="3"/>
    <n v="3"/>
    <n v="80"/>
    <n v="1"/>
    <n v="18"/>
    <n v="4"/>
    <n v="3"/>
    <n v="1"/>
    <n v="0"/>
    <n v="0"/>
    <n v="0"/>
    <s v="0-2 yrs"/>
  </r>
  <r>
    <n v="37"/>
    <x v="1"/>
    <s v="Travel_Rarely"/>
    <n v="446"/>
    <x v="1"/>
    <n v="1"/>
    <n v="4"/>
    <s v="Life Sciences"/>
    <n v="1"/>
    <n v="635"/>
    <n v="2"/>
    <s v="Female"/>
    <n v="65"/>
    <n v="3"/>
    <n v="2"/>
    <s v="Manufacturing Director"/>
    <x v="1"/>
    <s v="Married"/>
    <x v="455"/>
    <n v="15701"/>
    <n v="6"/>
    <s v="Y"/>
    <s v="No"/>
    <n v="12"/>
    <n v="3"/>
    <n v="2"/>
    <n v="80"/>
    <n v="1"/>
    <n v="8"/>
    <n v="2"/>
    <n v="2"/>
    <n v="6"/>
    <n v="5"/>
    <n v="4"/>
    <n v="3"/>
    <s v="5+ yrs"/>
  </r>
  <r>
    <n v="49"/>
    <x v="1"/>
    <s v="Travel_Rarely"/>
    <n v="1245"/>
    <x v="1"/>
    <n v="18"/>
    <n v="4"/>
    <s v="Life Sciences"/>
    <n v="1"/>
    <n v="638"/>
    <n v="4"/>
    <s v="Male"/>
    <n v="58"/>
    <n v="2"/>
    <n v="5"/>
    <s v="Research Director"/>
    <x v="2"/>
    <s v="Divorced"/>
    <x v="456"/>
    <n v="2125"/>
    <n v="1"/>
    <s v="Y"/>
    <s v="Yes"/>
    <n v="17"/>
    <n v="3"/>
    <n v="3"/>
    <n v="80"/>
    <n v="1"/>
    <n v="31"/>
    <n v="5"/>
    <n v="3"/>
    <n v="31"/>
    <n v="9"/>
    <n v="0"/>
    <n v="9"/>
    <s v="5+ yrs"/>
  </r>
  <r>
    <n v="24"/>
    <x v="1"/>
    <s v="Travel_Rarely"/>
    <n v="691"/>
    <x v="1"/>
    <n v="23"/>
    <n v="3"/>
    <s v="Medical"/>
    <n v="1"/>
    <n v="639"/>
    <n v="2"/>
    <s v="Male"/>
    <n v="89"/>
    <n v="4"/>
    <n v="1"/>
    <s v="Research Scientist"/>
    <x v="0"/>
    <s v="Married"/>
    <x v="457"/>
    <n v="21630"/>
    <n v="1"/>
    <s v="Y"/>
    <s v="Yes"/>
    <n v="11"/>
    <n v="3"/>
    <n v="2"/>
    <n v="80"/>
    <n v="2"/>
    <n v="6"/>
    <n v="3"/>
    <n v="3"/>
    <n v="6"/>
    <n v="5"/>
    <n v="1"/>
    <n v="4"/>
    <s v="5+ yrs"/>
  </r>
  <r>
    <n v="26"/>
    <x v="1"/>
    <s v="Travel_Rarely"/>
    <n v="703"/>
    <x v="0"/>
    <n v="28"/>
    <n v="2"/>
    <s v="Marketing"/>
    <n v="1"/>
    <n v="641"/>
    <n v="1"/>
    <s v="Male"/>
    <n v="66"/>
    <n v="3"/>
    <n v="2"/>
    <s v="Sales Executive"/>
    <x v="1"/>
    <s v="Married"/>
    <x v="458"/>
    <n v="7428"/>
    <n v="1"/>
    <s v="Y"/>
    <s v="No"/>
    <n v="20"/>
    <n v="4"/>
    <n v="4"/>
    <n v="80"/>
    <n v="2"/>
    <n v="6"/>
    <n v="5"/>
    <n v="4"/>
    <n v="5"/>
    <n v="3"/>
    <n v="1"/>
    <n v="4"/>
    <s v="3-5 yrs"/>
  </r>
  <r>
    <n v="24"/>
    <x v="1"/>
    <s v="Travel_Rarely"/>
    <n v="823"/>
    <x v="1"/>
    <n v="17"/>
    <n v="2"/>
    <s v="Other"/>
    <n v="1"/>
    <n v="643"/>
    <n v="4"/>
    <s v="Male"/>
    <n v="94"/>
    <n v="2"/>
    <n v="1"/>
    <s v="Laboratory Technician"/>
    <x v="1"/>
    <s v="Married"/>
    <x v="459"/>
    <n v="9100"/>
    <n v="1"/>
    <s v="Y"/>
    <s v="No"/>
    <n v="21"/>
    <n v="4"/>
    <n v="4"/>
    <n v="80"/>
    <n v="1"/>
    <n v="1"/>
    <n v="2"/>
    <n v="3"/>
    <n v="1"/>
    <n v="0"/>
    <n v="0"/>
    <n v="0"/>
    <s v="0-2 yrs"/>
  </r>
  <r>
    <n v="50"/>
    <x v="1"/>
    <s v="Travel_Frequently"/>
    <n v="1246"/>
    <x v="2"/>
    <n v="3"/>
    <n v="3"/>
    <s v="Medical"/>
    <n v="1"/>
    <n v="644"/>
    <n v="1"/>
    <s v="Male"/>
    <n v="99"/>
    <n v="3"/>
    <n v="5"/>
    <s v="Manager"/>
    <x v="1"/>
    <s v="Married"/>
    <x v="460"/>
    <n v="7999"/>
    <n v="1"/>
    <s v="Y"/>
    <s v="No"/>
    <n v="11"/>
    <n v="3"/>
    <n v="3"/>
    <n v="80"/>
    <n v="1"/>
    <n v="32"/>
    <n v="2"/>
    <n v="3"/>
    <n v="32"/>
    <n v="5"/>
    <n v="10"/>
    <n v="7"/>
    <s v="5+ yrs"/>
  </r>
  <r>
    <n v="25"/>
    <x v="1"/>
    <s v="Travel_Rarely"/>
    <n v="622"/>
    <x v="0"/>
    <n v="13"/>
    <n v="1"/>
    <s v="Medical"/>
    <n v="1"/>
    <n v="645"/>
    <n v="2"/>
    <s v="Male"/>
    <n v="40"/>
    <n v="3"/>
    <n v="1"/>
    <s v="Sales Representative"/>
    <x v="2"/>
    <s v="Married"/>
    <x v="461"/>
    <n v="26376"/>
    <n v="1"/>
    <s v="Y"/>
    <s v="No"/>
    <n v="11"/>
    <n v="3"/>
    <n v="3"/>
    <n v="80"/>
    <n v="0"/>
    <n v="7"/>
    <n v="1"/>
    <n v="3"/>
    <n v="7"/>
    <n v="4"/>
    <n v="0"/>
    <n v="6"/>
    <s v="5+ yrs"/>
  </r>
  <r>
    <n v="24"/>
    <x v="0"/>
    <s v="Travel_Frequently"/>
    <n v="1287"/>
    <x v="1"/>
    <n v="7"/>
    <n v="3"/>
    <s v="Life Sciences"/>
    <n v="1"/>
    <n v="647"/>
    <n v="1"/>
    <s v="Female"/>
    <n v="55"/>
    <n v="3"/>
    <n v="1"/>
    <s v="Laboratory Technician"/>
    <x v="2"/>
    <s v="Married"/>
    <x v="407"/>
    <n v="14168"/>
    <n v="1"/>
    <s v="Y"/>
    <s v="Yes"/>
    <n v="16"/>
    <n v="3"/>
    <n v="4"/>
    <n v="80"/>
    <n v="1"/>
    <n v="6"/>
    <n v="4"/>
    <n v="3"/>
    <n v="6"/>
    <n v="3"/>
    <n v="1"/>
    <n v="2"/>
    <s v="5+ yrs"/>
  </r>
  <r>
    <n v="30"/>
    <x v="0"/>
    <s v="Travel_Frequently"/>
    <n v="448"/>
    <x v="0"/>
    <n v="12"/>
    <n v="4"/>
    <s v="Life Sciences"/>
    <n v="1"/>
    <n v="648"/>
    <n v="2"/>
    <s v="Male"/>
    <n v="74"/>
    <n v="2"/>
    <n v="1"/>
    <s v="Sales Representative"/>
    <x v="3"/>
    <s v="Married"/>
    <x v="462"/>
    <n v="14470"/>
    <n v="1"/>
    <s v="Y"/>
    <s v="No"/>
    <n v="18"/>
    <n v="3"/>
    <n v="3"/>
    <n v="80"/>
    <n v="1"/>
    <n v="1"/>
    <n v="2"/>
    <n v="4"/>
    <n v="1"/>
    <n v="0"/>
    <n v="0"/>
    <n v="0"/>
    <s v="0-2 yrs"/>
  </r>
  <r>
    <n v="34"/>
    <x v="1"/>
    <s v="Travel_Rarely"/>
    <n v="254"/>
    <x v="1"/>
    <n v="1"/>
    <n v="2"/>
    <s v="Life Sciences"/>
    <n v="1"/>
    <n v="649"/>
    <n v="2"/>
    <s v="Male"/>
    <n v="83"/>
    <n v="2"/>
    <n v="1"/>
    <s v="Research Scientist"/>
    <x v="0"/>
    <s v="Married"/>
    <x v="463"/>
    <n v="22794"/>
    <n v="1"/>
    <s v="Y"/>
    <s v="Yes"/>
    <n v="13"/>
    <n v="3"/>
    <n v="4"/>
    <n v="80"/>
    <n v="1"/>
    <n v="6"/>
    <n v="3"/>
    <n v="3"/>
    <n v="6"/>
    <n v="5"/>
    <n v="1"/>
    <n v="3"/>
    <s v="5+ yrs"/>
  </r>
  <r>
    <n v="31"/>
    <x v="0"/>
    <s v="Travel_Rarely"/>
    <n v="1365"/>
    <x v="0"/>
    <n v="13"/>
    <n v="4"/>
    <s v="Medical"/>
    <n v="1"/>
    <n v="650"/>
    <n v="2"/>
    <s v="Male"/>
    <n v="46"/>
    <n v="3"/>
    <n v="2"/>
    <s v="Sales Executive"/>
    <x v="3"/>
    <s v="Divorced"/>
    <x v="464"/>
    <n v="11512"/>
    <n v="2"/>
    <s v="Y"/>
    <s v="No"/>
    <n v="17"/>
    <n v="3"/>
    <n v="3"/>
    <n v="80"/>
    <n v="0"/>
    <n v="9"/>
    <n v="2"/>
    <n v="1"/>
    <n v="3"/>
    <n v="1"/>
    <n v="1"/>
    <n v="2"/>
    <s v="3-5 yrs"/>
  </r>
  <r>
    <n v="35"/>
    <x v="1"/>
    <s v="Travel_Rarely"/>
    <n v="538"/>
    <x v="1"/>
    <n v="25"/>
    <n v="2"/>
    <s v="Other"/>
    <n v="1"/>
    <n v="652"/>
    <n v="1"/>
    <s v="Male"/>
    <n v="54"/>
    <n v="2"/>
    <n v="2"/>
    <s v="Laboratory Technician"/>
    <x v="0"/>
    <s v="Single"/>
    <x v="465"/>
    <n v="14004"/>
    <n v="4"/>
    <s v="Y"/>
    <s v="No"/>
    <n v="14"/>
    <n v="3"/>
    <n v="4"/>
    <n v="80"/>
    <n v="0"/>
    <n v="9"/>
    <n v="3"/>
    <n v="3"/>
    <n v="3"/>
    <n v="2"/>
    <n v="0"/>
    <n v="2"/>
    <s v="3-5 yrs"/>
  </r>
  <r>
    <n v="31"/>
    <x v="1"/>
    <s v="Travel_Rarely"/>
    <n v="525"/>
    <x v="0"/>
    <n v="6"/>
    <n v="4"/>
    <s v="Medical"/>
    <n v="1"/>
    <n v="653"/>
    <n v="1"/>
    <s v="Male"/>
    <n v="66"/>
    <n v="4"/>
    <n v="2"/>
    <s v="Sales Executive"/>
    <x v="0"/>
    <s v="Divorced"/>
    <x v="466"/>
    <n v="6219"/>
    <n v="4"/>
    <s v="Y"/>
    <s v="No"/>
    <n v="22"/>
    <n v="4"/>
    <n v="4"/>
    <n v="80"/>
    <n v="2"/>
    <n v="13"/>
    <n v="4"/>
    <n v="4"/>
    <n v="7"/>
    <n v="7"/>
    <n v="5"/>
    <n v="7"/>
    <s v="5+ yrs"/>
  </r>
  <r>
    <n v="27"/>
    <x v="1"/>
    <s v="Travel_Rarely"/>
    <n v="798"/>
    <x v="1"/>
    <n v="6"/>
    <n v="4"/>
    <s v="Medical"/>
    <n v="1"/>
    <n v="655"/>
    <n v="1"/>
    <s v="Female"/>
    <n v="66"/>
    <n v="2"/>
    <n v="1"/>
    <s v="Research Scientist"/>
    <x v="2"/>
    <s v="Divorced"/>
    <x v="467"/>
    <n v="5013"/>
    <n v="0"/>
    <s v="Y"/>
    <s v="No"/>
    <n v="12"/>
    <n v="3"/>
    <n v="3"/>
    <n v="80"/>
    <n v="2"/>
    <n v="6"/>
    <n v="5"/>
    <n v="2"/>
    <n v="5"/>
    <n v="3"/>
    <n v="0"/>
    <n v="3"/>
    <s v="3-5 yrs"/>
  </r>
  <r>
    <n v="37"/>
    <x v="1"/>
    <s v="Travel_Rarely"/>
    <n v="558"/>
    <x v="0"/>
    <n v="2"/>
    <n v="3"/>
    <s v="Marketing"/>
    <n v="1"/>
    <n v="656"/>
    <n v="4"/>
    <s v="Male"/>
    <n v="75"/>
    <n v="3"/>
    <n v="2"/>
    <s v="Sales Executive"/>
    <x v="2"/>
    <s v="Married"/>
    <x v="468"/>
    <n v="3010"/>
    <n v="4"/>
    <s v="Y"/>
    <s v="Yes"/>
    <n v="11"/>
    <n v="3"/>
    <n v="3"/>
    <n v="80"/>
    <n v="1"/>
    <n v="17"/>
    <n v="3"/>
    <n v="2"/>
    <n v="3"/>
    <n v="0"/>
    <n v="1"/>
    <n v="0"/>
    <s v="3-5 yrs"/>
  </r>
  <r>
    <n v="20"/>
    <x v="1"/>
    <s v="Travel_Rarely"/>
    <n v="959"/>
    <x v="1"/>
    <n v="1"/>
    <n v="3"/>
    <s v="Life Sciences"/>
    <n v="1"/>
    <n v="657"/>
    <n v="4"/>
    <s v="Female"/>
    <n v="83"/>
    <n v="2"/>
    <n v="1"/>
    <s v="Research Scientist"/>
    <x v="1"/>
    <s v="Single"/>
    <x v="469"/>
    <n v="11757"/>
    <n v="1"/>
    <s v="Y"/>
    <s v="No"/>
    <n v="13"/>
    <n v="3"/>
    <n v="4"/>
    <n v="80"/>
    <n v="0"/>
    <n v="1"/>
    <n v="0"/>
    <n v="4"/>
    <n v="1"/>
    <n v="0"/>
    <n v="0"/>
    <n v="0"/>
    <s v="0-2 yrs"/>
  </r>
  <r>
    <n v="42"/>
    <x v="1"/>
    <s v="Travel_Rarely"/>
    <n v="622"/>
    <x v="1"/>
    <n v="2"/>
    <n v="4"/>
    <s v="Life Sciences"/>
    <n v="1"/>
    <n v="659"/>
    <n v="3"/>
    <s v="Female"/>
    <n v="81"/>
    <n v="3"/>
    <n v="2"/>
    <s v="Healthcare Representative"/>
    <x v="0"/>
    <s v="Married"/>
    <x v="470"/>
    <n v="5718"/>
    <n v="1"/>
    <s v="Y"/>
    <s v="No"/>
    <n v="13"/>
    <n v="3"/>
    <n v="2"/>
    <n v="80"/>
    <n v="2"/>
    <n v="10"/>
    <n v="4"/>
    <n v="3"/>
    <n v="10"/>
    <n v="2"/>
    <n v="2"/>
    <n v="2"/>
    <s v="5+ yrs"/>
  </r>
  <r>
    <n v="43"/>
    <x v="1"/>
    <s v="Travel_Rarely"/>
    <n v="782"/>
    <x v="1"/>
    <n v="6"/>
    <n v="4"/>
    <s v="Other"/>
    <n v="1"/>
    <n v="661"/>
    <n v="2"/>
    <s v="Male"/>
    <n v="50"/>
    <n v="2"/>
    <n v="4"/>
    <s v="Research Director"/>
    <x v="0"/>
    <s v="Divorced"/>
    <x v="471"/>
    <n v="2671"/>
    <n v="4"/>
    <s v="Y"/>
    <s v="Yes"/>
    <n v="14"/>
    <n v="3"/>
    <n v="3"/>
    <n v="80"/>
    <n v="1"/>
    <n v="21"/>
    <n v="3"/>
    <n v="2"/>
    <n v="1"/>
    <n v="0"/>
    <n v="0"/>
    <n v="0"/>
    <s v="0-2 yrs"/>
  </r>
  <r>
    <n v="38"/>
    <x v="1"/>
    <s v="Travel_Rarely"/>
    <n v="362"/>
    <x v="1"/>
    <n v="1"/>
    <n v="1"/>
    <s v="Life Sciences"/>
    <n v="1"/>
    <n v="662"/>
    <n v="3"/>
    <s v="Female"/>
    <n v="43"/>
    <n v="3"/>
    <n v="1"/>
    <s v="Research Scientist"/>
    <x v="3"/>
    <s v="Single"/>
    <x v="472"/>
    <n v="14561"/>
    <n v="3"/>
    <s v="Y"/>
    <s v="No"/>
    <n v="17"/>
    <n v="3"/>
    <n v="4"/>
    <n v="80"/>
    <n v="0"/>
    <n v="8"/>
    <n v="3"/>
    <n v="2"/>
    <n v="0"/>
    <n v="0"/>
    <n v="0"/>
    <n v="0"/>
    <s v="0-2 yrs"/>
  </r>
  <r>
    <n v="43"/>
    <x v="1"/>
    <s v="Travel_Frequently"/>
    <n v="1001"/>
    <x v="1"/>
    <n v="9"/>
    <n v="5"/>
    <s v="Medical"/>
    <n v="1"/>
    <n v="663"/>
    <n v="4"/>
    <s v="Male"/>
    <n v="72"/>
    <n v="3"/>
    <n v="2"/>
    <s v="Laboratory Technician"/>
    <x v="2"/>
    <s v="Divorced"/>
    <x v="473"/>
    <n v="19627"/>
    <n v="3"/>
    <s v="Y"/>
    <s v="Yes"/>
    <n v="13"/>
    <n v="3"/>
    <n v="2"/>
    <n v="80"/>
    <n v="1"/>
    <n v="10"/>
    <n v="3"/>
    <n v="3"/>
    <n v="8"/>
    <n v="7"/>
    <n v="4"/>
    <n v="7"/>
    <s v="5+ yrs"/>
  </r>
  <r>
    <n v="48"/>
    <x v="1"/>
    <s v="Travel_Rarely"/>
    <n v="1236"/>
    <x v="1"/>
    <n v="1"/>
    <n v="4"/>
    <s v="Life Sciences"/>
    <n v="1"/>
    <n v="664"/>
    <n v="4"/>
    <s v="Female"/>
    <n v="40"/>
    <n v="2"/>
    <n v="4"/>
    <s v="Manager"/>
    <x v="3"/>
    <s v="Married"/>
    <x v="474"/>
    <n v="17997"/>
    <n v="7"/>
    <s v="Y"/>
    <s v="No"/>
    <n v="11"/>
    <n v="3"/>
    <n v="1"/>
    <n v="80"/>
    <n v="1"/>
    <n v="21"/>
    <n v="3"/>
    <n v="1"/>
    <n v="3"/>
    <n v="2"/>
    <n v="0"/>
    <n v="2"/>
    <s v="3-5 yrs"/>
  </r>
  <r>
    <n v="44"/>
    <x v="1"/>
    <s v="Travel_Rarely"/>
    <n v="1112"/>
    <x v="2"/>
    <n v="1"/>
    <n v="4"/>
    <s v="Life Sciences"/>
    <n v="1"/>
    <n v="665"/>
    <n v="1"/>
    <s v="Female"/>
    <n v="50"/>
    <n v="2"/>
    <n v="2"/>
    <s v="Human Resources"/>
    <x v="2"/>
    <s v="Single"/>
    <x v="475"/>
    <n v="26894"/>
    <n v="4"/>
    <s v="Y"/>
    <s v="No"/>
    <n v="11"/>
    <n v="3"/>
    <n v="2"/>
    <n v="80"/>
    <n v="0"/>
    <n v="10"/>
    <n v="1"/>
    <n v="4"/>
    <n v="2"/>
    <n v="2"/>
    <n v="0"/>
    <n v="2"/>
    <s v="0-2 yrs"/>
  </r>
  <r>
    <n v="34"/>
    <x v="1"/>
    <s v="Travel_Rarely"/>
    <n v="204"/>
    <x v="0"/>
    <n v="14"/>
    <n v="3"/>
    <s v="Technical Degree"/>
    <n v="1"/>
    <n v="666"/>
    <n v="3"/>
    <s v="Female"/>
    <n v="31"/>
    <n v="3"/>
    <n v="1"/>
    <s v="Sales Representative"/>
    <x v="2"/>
    <s v="Divorced"/>
    <x v="476"/>
    <n v="2912"/>
    <n v="1"/>
    <s v="Y"/>
    <s v="Yes"/>
    <n v="18"/>
    <n v="3"/>
    <n v="4"/>
    <n v="80"/>
    <n v="2"/>
    <n v="8"/>
    <n v="3"/>
    <n v="3"/>
    <n v="8"/>
    <n v="2"/>
    <n v="0"/>
    <n v="6"/>
    <s v="5+ yrs"/>
  </r>
  <r>
    <n v="27"/>
    <x v="0"/>
    <s v="Travel_Rarely"/>
    <n v="1420"/>
    <x v="0"/>
    <n v="2"/>
    <n v="1"/>
    <s v="Marketing"/>
    <n v="1"/>
    <n v="667"/>
    <n v="3"/>
    <s v="Male"/>
    <n v="85"/>
    <n v="3"/>
    <n v="1"/>
    <s v="Sales Representative"/>
    <x v="3"/>
    <s v="Divorced"/>
    <x v="477"/>
    <n v="16346"/>
    <n v="0"/>
    <s v="Y"/>
    <s v="No"/>
    <n v="11"/>
    <n v="3"/>
    <n v="2"/>
    <n v="80"/>
    <n v="1"/>
    <n v="5"/>
    <n v="3"/>
    <n v="3"/>
    <n v="4"/>
    <n v="3"/>
    <n v="0"/>
    <n v="2"/>
    <s v="3-5 yrs"/>
  </r>
  <r>
    <n v="21"/>
    <x v="1"/>
    <s v="Travel_Rarely"/>
    <n v="1343"/>
    <x v="0"/>
    <n v="22"/>
    <n v="1"/>
    <s v="Technical Degree"/>
    <n v="1"/>
    <n v="669"/>
    <n v="3"/>
    <s v="Male"/>
    <n v="49"/>
    <n v="3"/>
    <n v="1"/>
    <s v="Sales Representative"/>
    <x v="2"/>
    <s v="Single"/>
    <x v="478"/>
    <n v="24444"/>
    <n v="1"/>
    <s v="Y"/>
    <s v="No"/>
    <n v="11"/>
    <n v="3"/>
    <n v="3"/>
    <n v="80"/>
    <n v="0"/>
    <n v="3"/>
    <n v="2"/>
    <n v="3"/>
    <n v="3"/>
    <n v="2"/>
    <n v="1"/>
    <n v="2"/>
    <s v="3-5 yrs"/>
  </r>
  <r>
    <n v="44"/>
    <x v="1"/>
    <s v="Travel_Rarely"/>
    <n v="1315"/>
    <x v="1"/>
    <n v="3"/>
    <n v="4"/>
    <s v="Other"/>
    <n v="1"/>
    <n v="671"/>
    <n v="4"/>
    <s v="Male"/>
    <n v="35"/>
    <n v="3"/>
    <n v="5"/>
    <s v="Manager"/>
    <x v="0"/>
    <s v="Married"/>
    <x v="479"/>
    <n v="9358"/>
    <n v="4"/>
    <s v="Y"/>
    <s v="Yes"/>
    <n v="12"/>
    <n v="3"/>
    <n v="1"/>
    <n v="80"/>
    <n v="1"/>
    <n v="26"/>
    <n v="2"/>
    <n v="4"/>
    <n v="2"/>
    <n v="2"/>
    <n v="0"/>
    <n v="1"/>
    <s v="0-2 yrs"/>
  </r>
  <r>
    <n v="22"/>
    <x v="1"/>
    <s v="Travel_Rarely"/>
    <n v="604"/>
    <x v="1"/>
    <n v="6"/>
    <n v="1"/>
    <s v="Medical"/>
    <n v="1"/>
    <n v="675"/>
    <n v="1"/>
    <s v="Male"/>
    <n v="69"/>
    <n v="3"/>
    <n v="1"/>
    <s v="Research Scientist"/>
    <x v="2"/>
    <s v="Married"/>
    <x v="480"/>
    <n v="12145"/>
    <n v="0"/>
    <s v="Y"/>
    <s v="No"/>
    <n v="20"/>
    <n v="4"/>
    <n v="4"/>
    <n v="80"/>
    <n v="0"/>
    <n v="3"/>
    <n v="3"/>
    <n v="3"/>
    <n v="2"/>
    <n v="2"/>
    <n v="2"/>
    <n v="2"/>
    <s v="0-2 yrs"/>
  </r>
  <r>
    <n v="33"/>
    <x v="1"/>
    <s v="Travel_Rarely"/>
    <n v="1216"/>
    <x v="0"/>
    <n v="8"/>
    <n v="4"/>
    <s v="Marketing"/>
    <n v="1"/>
    <n v="677"/>
    <n v="3"/>
    <s v="Male"/>
    <n v="39"/>
    <n v="3"/>
    <n v="2"/>
    <s v="Sales Executive"/>
    <x v="2"/>
    <s v="Divorced"/>
    <x v="481"/>
    <n v="20431"/>
    <n v="0"/>
    <s v="Y"/>
    <s v="No"/>
    <n v="12"/>
    <n v="3"/>
    <n v="4"/>
    <n v="80"/>
    <n v="0"/>
    <n v="6"/>
    <n v="3"/>
    <n v="3"/>
    <n v="5"/>
    <n v="0"/>
    <n v="1"/>
    <n v="2"/>
    <s v="3-5 yrs"/>
  </r>
  <r>
    <n v="32"/>
    <x v="1"/>
    <s v="Travel_Rarely"/>
    <n v="646"/>
    <x v="1"/>
    <n v="9"/>
    <n v="4"/>
    <s v="Life Sciences"/>
    <n v="1"/>
    <n v="679"/>
    <n v="1"/>
    <s v="Female"/>
    <n v="92"/>
    <n v="3"/>
    <n v="2"/>
    <s v="Research Scientist"/>
    <x v="0"/>
    <s v="Married"/>
    <x v="482"/>
    <n v="18089"/>
    <n v="1"/>
    <s v="Y"/>
    <s v="Yes"/>
    <n v="12"/>
    <n v="3"/>
    <n v="4"/>
    <n v="80"/>
    <n v="1"/>
    <n v="6"/>
    <n v="2"/>
    <n v="2"/>
    <n v="6"/>
    <n v="4"/>
    <n v="0"/>
    <n v="5"/>
    <s v="5+ yrs"/>
  </r>
  <r>
    <n v="30"/>
    <x v="1"/>
    <s v="Travel_Frequently"/>
    <n v="160"/>
    <x v="1"/>
    <n v="3"/>
    <n v="3"/>
    <s v="Medical"/>
    <n v="1"/>
    <n v="680"/>
    <n v="3"/>
    <s v="Female"/>
    <n v="71"/>
    <n v="3"/>
    <n v="1"/>
    <s v="Research Scientist"/>
    <x v="2"/>
    <s v="Divorced"/>
    <x v="483"/>
    <n v="22653"/>
    <n v="1"/>
    <s v="Y"/>
    <s v="No"/>
    <n v="20"/>
    <n v="4"/>
    <n v="3"/>
    <n v="80"/>
    <n v="1"/>
    <n v="1"/>
    <n v="2"/>
    <n v="3"/>
    <n v="1"/>
    <n v="0"/>
    <n v="0"/>
    <n v="0"/>
    <s v="0-2 yrs"/>
  </r>
  <r>
    <n v="53"/>
    <x v="1"/>
    <s v="Travel_Rarely"/>
    <n v="238"/>
    <x v="0"/>
    <n v="1"/>
    <n v="1"/>
    <s v="Medical"/>
    <n v="1"/>
    <n v="682"/>
    <n v="4"/>
    <s v="Female"/>
    <n v="34"/>
    <n v="3"/>
    <n v="2"/>
    <s v="Sales Executive"/>
    <x v="3"/>
    <s v="Single"/>
    <x v="484"/>
    <n v="7507"/>
    <n v="7"/>
    <s v="Y"/>
    <s v="No"/>
    <n v="20"/>
    <n v="4"/>
    <n v="4"/>
    <n v="80"/>
    <n v="0"/>
    <n v="18"/>
    <n v="2"/>
    <n v="4"/>
    <n v="14"/>
    <n v="7"/>
    <n v="8"/>
    <n v="10"/>
    <s v="5+ yrs"/>
  </r>
  <r>
    <n v="34"/>
    <x v="1"/>
    <s v="Travel_Rarely"/>
    <n v="1397"/>
    <x v="1"/>
    <n v="1"/>
    <n v="5"/>
    <s v="Life Sciences"/>
    <n v="1"/>
    <n v="683"/>
    <n v="2"/>
    <s v="Male"/>
    <n v="42"/>
    <n v="3"/>
    <n v="1"/>
    <s v="Research Scientist"/>
    <x v="0"/>
    <s v="Married"/>
    <x v="485"/>
    <n v="7660"/>
    <n v="1"/>
    <s v="Y"/>
    <s v="No"/>
    <n v="12"/>
    <n v="3"/>
    <n v="4"/>
    <n v="80"/>
    <n v="1"/>
    <n v="10"/>
    <n v="4"/>
    <n v="2"/>
    <n v="10"/>
    <n v="9"/>
    <n v="8"/>
    <n v="8"/>
    <s v="5+ yrs"/>
  </r>
  <r>
    <n v="45"/>
    <x v="0"/>
    <s v="Travel_Frequently"/>
    <n v="306"/>
    <x v="0"/>
    <n v="26"/>
    <n v="4"/>
    <s v="Life Sciences"/>
    <n v="1"/>
    <n v="684"/>
    <n v="1"/>
    <s v="Female"/>
    <n v="100"/>
    <n v="3"/>
    <n v="2"/>
    <s v="Sales Executive"/>
    <x v="3"/>
    <s v="Married"/>
    <x v="486"/>
    <n v="5630"/>
    <n v="2"/>
    <s v="Y"/>
    <s v="No"/>
    <n v="14"/>
    <n v="3"/>
    <n v="4"/>
    <n v="80"/>
    <n v="2"/>
    <n v="5"/>
    <n v="4"/>
    <n v="3"/>
    <n v="1"/>
    <n v="1"/>
    <n v="0"/>
    <n v="0"/>
    <s v="0-2 yrs"/>
  </r>
  <r>
    <n v="26"/>
    <x v="1"/>
    <s v="Travel_Rarely"/>
    <n v="991"/>
    <x v="1"/>
    <n v="6"/>
    <n v="3"/>
    <s v="Life Sciences"/>
    <n v="1"/>
    <n v="686"/>
    <n v="3"/>
    <s v="Female"/>
    <n v="71"/>
    <n v="3"/>
    <n v="1"/>
    <s v="Laboratory Technician"/>
    <x v="0"/>
    <s v="Married"/>
    <x v="487"/>
    <n v="17759"/>
    <n v="1"/>
    <s v="Y"/>
    <s v="Yes"/>
    <n v="13"/>
    <n v="3"/>
    <n v="3"/>
    <n v="80"/>
    <n v="1"/>
    <n v="3"/>
    <n v="2"/>
    <n v="3"/>
    <n v="3"/>
    <n v="2"/>
    <n v="0"/>
    <n v="2"/>
    <s v="3-5 yrs"/>
  </r>
  <r>
    <n v="37"/>
    <x v="1"/>
    <s v="Travel_Rarely"/>
    <n v="482"/>
    <x v="1"/>
    <n v="3"/>
    <n v="3"/>
    <s v="Other"/>
    <n v="1"/>
    <n v="689"/>
    <n v="3"/>
    <s v="Male"/>
    <n v="36"/>
    <n v="3"/>
    <n v="3"/>
    <s v="Manufacturing Director"/>
    <x v="2"/>
    <s v="Married"/>
    <x v="488"/>
    <n v="9606"/>
    <n v="1"/>
    <s v="Y"/>
    <s v="No"/>
    <n v="15"/>
    <n v="3"/>
    <n v="3"/>
    <n v="80"/>
    <n v="1"/>
    <n v="10"/>
    <n v="2"/>
    <n v="3"/>
    <n v="10"/>
    <n v="7"/>
    <n v="7"/>
    <n v="8"/>
    <s v="5+ yrs"/>
  </r>
  <r>
    <n v="29"/>
    <x v="1"/>
    <s v="Travel_Rarely"/>
    <n v="1176"/>
    <x v="0"/>
    <n v="3"/>
    <n v="2"/>
    <s v="Medical"/>
    <n v="1"/>
    <n v="690"/>
    <n v="2"/>
    <s v="Female"/>
    <n v="62"/>
    <n v="3"/>
    <n v="2"/>
    <s v="Sales Executive"/>
    <x v="2"/>
    <s v="Married"/>
    <x v="489"/>
    <n v="3487"/>
    <n v="1"/>
    <s v="Y"/>
    <s v="No"/>
    <n v="14"/>
    <n v="3"/>
    <n v="1"/>
    <n v="80"/>
    <n v="1"/>
    <n v="6"/>
    <n v="5"/>
    <n v="2"/>
    <n v="6"/>
    <n v="0"/>
    <n v="1"/>
    <n v="2"/>
    <s v="5+ yrs"/>
  </r>
  <r>
    <n v="35"/>
    <x v="1"/>
    <s v="Travel_Rarely"/>
    <n v="1017"/>
    <x v="1"/>
    <n v="6"/>
    <n v="4"/>
    <s v="Life Sciences"/>
    <n v="1"/>
    <n v="691"/>
    <n v="2"/>
    <s v="Male"/>
    <n v="82"/>
    <n v="1"/>
    <n v="2"/>
    <s v="Research Scientist"/>
    <x v="0"/>
    <s v="Single"/>
    <x v="490"/>
    <n v="19368"/>
    <n v="1"/>
    <s v="Y"/>
    <s v="No"/>
    <n v="13"/>
    <n v="3"/>
    <n v="2"/>
    <n v="80"/>
    <n v="0"/>
    <n v="17"/>
    <n v="3"/>
    <n v="3"/>
    <n v="17"/>
    <n v="11"/>
    <n v="11"/>
    <n v="8"/>
    <s v="5+ yrs"/>
  </r>
  <r>
    <n v="33"/>
    <x v="1"/>
    <s v="Travel_Frequently"/>
    <n v="1296"/>
    <x v="1"/>
    <n v="6"/>
    <n v="3"/>
    <s v="Life Sciences"/>
    <n v="1"/>
    <n v="692"/>
    <n v="3"/>
    <s v="Male"/>
    <n v="30"/>
    <n v="3"/>
    <n v="2"/>
    <s v="Healthcare Representative"/>
    <x v="0"/>
    <s v="Divorced"/>
    <x v="491"/>
    <n v="5335"/>
    <n v="3"/>
    <s v="Y"/>
    <s v="No"/>
    <n v="23"/>
    <n v="4"/>
    <n v="3"/>
    <n v="80"/>
    <n v="1"/>
    <n v="15"/>
    <n v="2"/>
    <n v="1"/>
    <n v="13"/>
    <n v="11"/>
    <n v="4"/>
    <n v="7"/>
    <s v="5+ yrs"/>
  </r>
  <r>
    <n v="54"/>
    <x v="1"/>
    <s v="Travel_Rarely"/>
    <n v="397"/>
    <x v="2"/>
    <n v="19"/>
    <n v="4"/>
    <s v="Medical"/>
    <n v="1"/>
    <n v="698"/>
    <n v="3"/>
    <s v="Male"/>
    <n v="88"/>
    <n v="3"/>
    <n v="3"/>
    <s v="Human Resources"/>
    <x v="1"/>
    <s v="Married"/>
    <x v="492"/>
    <n v="6729"/>
    <n v="2"/>
    <s v="Y"/>
    <s v="No"/>
    <n v="15"/>
    <n v="3"/>
    <n v="3"/>
    <n v="80"/>
    <n v="1"/>
    <n v="16"/>
    <n v="1"/>
    <n v="4"/>
    <n v="9"/>
    <n v="7"/>
    <n v="7"/>
    <n v="1"/>
    <s v="5+ yrs"/>
  </r>
  <r>
    <n v="36"/>
    <x v="1"/>
    <s v="Travel_Rarely"/>
    <n v="913"/>
    <x v="1"/>
    <n v="9"/>
    <n v="2"/>
    <s v="Medical"/>
    <n v="1"/>
    <n v="699"/>
    <n v="2"/>
    <s v="Male"/>
    <n v="48"/>
    <n v="2"/>
    <n v="2"/>
    <s v="Manufacturing Director"/>
    <x v="1"/>
    <s v="Divorced"/>
    <x v="493"/>
    <n v="13934"/>
    <n v="2"/>
    <s v="Y"/>
    <s v="Yes"/>
    <n v="11"/>
    <n v="3"/>
    <n v="3"/>
    <n v="80"/>
    <n v="1"/>
    <n v="13"/>
    <n v="2"/>
    <n v="3"/>
    <n v="3"/>
    <n v="2"/>
    <n v="0"/>
    <n v="2"/>
    <s v="3-5 yrs"/>
  </r>
  <r>
    <n v="27"/>
    <x v="1"/>
    <s v="Travel_Rarely"/>
    <n v="1115"/>
    <x v="1"/>
    <n v="3"/>
    <n v="4"/>
    <s v="Medical"/>
    <n v="1"/>
    <n v="700"/>
    <n v="1"/>
    <s v="Male"/>
    <n v="54"/>
    <n v="2"/>
    <n v="1"/>
    <s v="Research Scientist"/>
    <x v="0"/>
    <s v="Single"/>
    <x v="494"/>
    <n v="15174"/>
    <n v="0"/>
    <s v="Y"/>
    <s v="No"/>
    <n v="13"/>
    <n v="3"/>
    <n v="4"/>
    <n v="80"/>
    <n v="0"/>
    <n v="5"/>
    <n v="0"/>
    <n v="3"/>
    <n v="4"/>
    <n v="2"/>
    <n v="1"/>
    <n v="1"/>
    <s v="3-5 yrs"/>
  </r>
  <r>
    <n v="20"/>
    <x v="0"/>
    <s v="Travel_Rarely"/>
    <n v="1362"/>
    <x v="1"/>
    <n v="10"/>
    <n v="1"/>
    <s v="Medical"/>
    <n v="1"/>
    <n v="701"/>
    <n v="4"/>
    <s v="Male"/>
    <n v="32"/>
    <n v="3"/>
    <n v="1"/>
    <s v="Research Scientist"/>
    <x v="2"/>
    <s v="Single"/>
    <x v="495"/>
    <n v="26999"/>
    <n v="1"/>
    <s v="Y"/>
    <s v="Yes"/>
    <n v="11"/>
    <n v="3"/>
    <n v="4"/>
    <n v="80"/>
    <n v="0"/>
    <n v="1"/>
    <n v="5"/>
    <n v="3"/>
    <n v="1"/>
    <n v="0"/>
    <n v="1"/>
    <n v="1"/>
    <s v="0-2 yrs"/>
  </r>
  <r>
    <n v="33"/>
    <x v="0"/>
    <s v="Travel_Frequently"/>
    <n v="1076"/>
    <x v="1"/>
    <n v="3"/>
    <n v="3"/>
    <s v="Life Sciences"/>
    <n v="1"/>
    <n v="702"/>
    <n v="1"/>
    <s v="Male"/>
    <n v="70"/>
    <n v="3"/>
    <n v="1"/>
    <s v="Research Scientist"/>
    <x v="3"/>
    <s v="Single"/>
    <x v="496"/>
    <n v="3164"/>
    <n v="1"/>
    <s v="Y"/>
    <s v="Yes"/>
    <n v="11"/>
    <n v="3"/>
    <n v="1"/>
    <n v="80"/>
    <n v="0"/>
    <n v="10"/>
    <n v="3"/>
    <n v="3"/>
    <n v="10"/>
    <n v="8"/>
    <n v="9"/>
    <n v="7"/>
    <s v="5+ yrs"/>
  </r>
  <r>
    <n v="35"/>
    <x v="1"/>
    <s v="Non-Travel"/>
    <n v="727"/>
    <x v="1"/>
    <n v="3"/>
    <n v="3"/>
    <s v="Life Sciences"/>
    <n v="1"/>
    <n v="704"/>
    <n v="3"/>
    <s v="Male"/>
    <n v="41"/>
    <n v="2"/>
    <n v="1"/>
    <s v="Laboratory Technician"/>
    <x v="2"/>
    <s v="Married"/>
    <x v="497"/>
    <n v="16900"/>
    <n v="1"/>
    <s v="Y"/>
    <s v="No"/>
    <n v="18"/>
    <n v="3"/>
    <n v="3"/>
    <n v="80"/>
    <n v="2"/>
    <n v="1"/>
    <n v="3"/>
    <n v="3"/>
    <n v="1"/>
    <n v="0"/>
    <n v="0"/>
    <n v="0"/>
    <s v="0-2 yrs"/>
  </r>
  <r>
    <n v="23"/>
    <x v="1"/>
    <s v="Travel_Rarely"/>
    <n v="885"/>
    <x v="1"/>
    <n v="4"/>
    <n v="3"/>
    <s v="Medical"/>
    <n v="1"/>
    <n v="705"/>
    <n v="1"/>
    <s v="Male"/>
    <n v="58"/>
    <n v="4"/>
    <n v="1"/>
    <s v="Research Scientist"/>
    <x v="3"/>
    <s v="Married"/>
    <x v="498"/>
    <n v="8544"/>
    <n v="2"/>
    <s v="Y"/>
    <s v="No"/>
    <n v="16"/>
    <n v="3"/>
    <n v="1"/>
    <n v="80"/>
    <n v="1"/>
    <n v="5"/>
    <n v="3"/>
    <n v="4"/>
    <n v="3"/>
    <n v="2"/>
    <n v="0"/>
    <n v="2"/>
    <s v="3-5 yrs"/>
  </r>
  <r>
    <n v="25"/>
    <x v="1"/>
    <s v="Travel_Rarely"/>
    <n v="810"/>
    <x v="0"/>
    <n v="8"/>
    <n v="3"/>
    <s v="Life Sciences"/>
    <n v="1"/>
    <n v="707"/>
    <n v="4"/>
    <s v="Male"/>
    <n v="57"/>
    <n v="4"/>
    <n v="2"/>
    <s v="Sales Executive"/>
    <x v="1"/>
    <s v="Married"/>
    <x v="499"/>
    <n v="15678"/>
    <n v="0"/>
    <s v="Y"/>
    <s v="No"/>
    <n v="22"/>
    <n v="4"/>
    <n v="3"/>
    <n v="80"/>
    <n v="1"/>
    <n v="4"/>
    <n v="4"/>
    <n v="3"/>
    <n v="3"/>
    <n v="2"/>
    <n v="1"/>
    <n v="2"/>
    <s v="3-5 yrs"/>
  </r>
  <r>
    <n v="38"/>
    <x v="1"/>
    <s v="Travel_Rarely"/>
    <n v="243"/>
    <x v="0"/>
    <n v="7"/>
    <n v="4"/>
    <s v="Marketing"/>
    <n v="1"/>
    <n v="709"/>
    <n v="4"/>
    <s v="Female"/>
    <n v="46"/>
    <n v="2"/>
    <n v="2"/>
    <s v="Sales Executive"/>
    <x v="0"/>
    <s v="Single"/>
    <x v="500"/>
    <n v="7791"/>
    <n v="0"/>
    <s v="Y"/>
    <s v="No"/>
    <n v="20"/>
    <n v="4"/>
    <n v="1"/>
    <n v="80"/>
    <n v="0"/>
    <n v="8"/>
    <n v="2"/>
    <n v="3"/>
    <n v="7"/>
    <n v="7"/>
    <n v="0"/>
    <n v="5"/>
    <s v="5+ yrs"/>
  </r>
  <r>
    <n v="29"/>
    <x v="1"/>
    <s v="Travel_Frequently"/>
    <n v="806"/>
    <x v="1"/>
    <n v="1"/>
    <n v="4"/>
    <s v="Life Sciences"/>
    <n v="1"/>
    <n v="710"/>
    <n v="2"/>
    <s v="Male"/>
    <n v="76"/>
    <n v="1"/>
    <n v="1"/>
    <s v="Research Scientist"/>
    <x v="0"/>
    <s v="Divorced"/>
    <x v="143"/>
    <n v="18959"/>
    <n v="1"/>
    <s v="Y"/>
    <s v="No"/>
    <n v="18"/>
    <n v="3"/>
    <n v="4"/>
    <n v="80"/>
    <n v="1"/>
    <n v="10"/>
    <n v="5"/>
    <n v="3"/>
    <n v="10"/>
    <n v="7"/>
    <n v="2"/>
    <n v="8"/>
    <s v="5+ yrs"/>
  </r>
  <r>
    <n v="48"/>
    <x v="1"/>
    <s v="Travel_Rarely"/>
    <n v="817"/>
    <x v="0"/>
    <n v="2"/>
    <n v="1"/>
    <s v="Marketing"/>
    <n v="1"/>
    <n v="712"/>
    <n v="2"/>
    <s v="Male"/>
    <n v="56"/>
    <n v="4"/>
    <n v="2"/>
    <s v="Sales Executive"/>
    <x v="1"/>
    <s v="Married"/>
    <x v="501"/>
    <n v="18597"/>
    <n v="3"/>
    <s v="Y"/>
    <s v="No"/>
    <n v="12"/>
    <n v="3"/>
    <n v="4"/>
    <n v="80"/>
    <n v="0"/>
    <n v="12"/>
    <n v="3"/>
    <n v="3"/>
    <n v="2"/>
    <n v="2"/>
    <n v="2"/>
    <n v="2"/>
    <s v="0-2 yrs"/>
  </r>
  <r>
    <n v="27"/>
    <x v="1"/>
    <s v="Travel_Frequently"/>
    <n v="1410"/>
    <x v="0"/>
    <n v="3"/>
    <n v="1"/>
    <s v="Medical"/>
    <n v="1"/>
    <n v="714"/>
    <n v="4"/>
    <s v="Female"/>
    <n v="71"/>
    <n v="4"/>
    <n v="2"/>
    <s v="Sales Executive"/>
    <x v="0"/>
    <s v="Divorced"/>
    <x v="502"/>
    <n v="16673"/>
    <n v="1"/>
    <s v="Y"/>
    <s v="Yes"/>
    <n v="20"/>
    <n v="4"/>
    <n v="2"/>
    <n v="80"/>
    <n v="2"/>
    <n v="6"/>
    <n v="3"/>
    <n v="3"/>
    <n v="6"/>
    <n v="5"/>
    <n v="0"/>
    <n v="4"/>
    <s v="5+ yrs"/>
  </r>
  <r>
    <n v="37"/>
    <x v="1"/>
    <s v="Travel_Rarely"/>
    <n v="1225"/>
    <x v="1"/>
    <n v="10"/>
    <n v="2"/>
    <s v="Life Sciences"/>
    <n v="1"/>
    <n v="715"/>
    <n v="4"/>
    <s v="Male"/>
    <n v="80"/>
    <n v="4"/>
    <n v="1"/>
    <s v="Research Scientist"/>
    <x v="0"/>
    <s v="Single"/>
    <x v="503"/>
    <n v="15232"/>
    <n v="3"/>
    <s v="Y"/>
    <s v="No"/>
    <n v="17"/>
    <n v="3"/>
    <n v="1"/>
    <n v="80"/>
    <n v="0"/>
    <n v="4"/>
    <n v="2"/>
    <n v="3"/>
    <n v="1"/>
    <n v="0"/>
    <n v="0"/>
    <n v="0"/>
    <s v="0-2 yrs"/>
  </r>
  <r>
    <n v="50"/>
    <x v="1"/>
    <s v="Travel_Rarely"/>
    <n v="1207"/>
    <x v="1"/>
    <n v="28"/>
    <n v="1"/>
    <s v="Medical"/>
    <n v="1"/>
    <n v="716"/>
    <n v="4"/>
    <s v="Male"/>
    <n v="74"/>
    <n v="4"/>
    <n v="1"/>
    <s v="Laboratory Technician"/>
    <x v="2"/>
    <s v="Married"/>
    <x v="504"/>
    <n v="3297"/>
    <n v="1"/>
    <s v="Y"/>
    <s v="Yes"/>
    <n v="11"/>
    <n v="3"/>
    <n v="3"/>
    <n v="80"/>
    <n v="3"/>
    <n v="20"/>
    <n v="3"/>
    <n v="3"/>
    <n v="20"/>
    <n v="8"/>
    <n v="3"/>
    <n v="8"/>
    <s v="5+ yrs"/>
  </r>
  <r>
    <n v="34"/>
    <x v="1"/>
    <s v="Travel_Rarely"/>
    <n v="1442"/>
    <x v="1"/>
    <n v="9"/>
    <n v="3"/>
    <s v="Medical"/>
    <n v="1"/>
    <n v="717"/>
    <n v="4"/>
    <s v="Female"/>
    <n v="46"/>
    <n v="2"/>
    <n v="3"/>
    <s v="Healthcare Representative"/>
    <x v="1"/>
    <s v="Single"/>
    <x v="505"/>
    <n v="17654"/>
    <n v="1"/>
    <s v="Y"/>
    <s v="No"/>
    <n v="14"/>
    <n v="3"/>
    <n v="2"/>
    <n v="80"/>
    <n v="0"/>
    <n v="9"/>
    <n v="3"/>
    <n v="4"/>
    <n v="8"/>
    <n v="7"/>
    <n v="7"/>
    <n v="7"/>
    <s v="5+ yrs"/>
  </r>
  <r>
    <n v="24"/>
    <x v="0"/>
    <s v="Travel_Rarely"/>
    <n v="693"/>
    <x v="0"/>
    <n v="3"/>
    <n v="2"/>
    <s v="Life Sciences"/>
    <n v="1"/>
    <n v="720"/>
    <n v="1"/>
    <s v="Female"/>
    <n v="65"/>
    <n v="3"/>
    <n v="2"/>
    <s v="Sales Executive"/>
    <x v="2"/>
    <s v="Single"/>
    <x v="506"/>
    <n v="24785"/>
    <n v="9"/>
    <s v="Y"/>
    <s v="No"/>
    <n v="14"/>
    <n v="3"/>
    <n v="1"/>
    <n v="80"/>
    <n v="0"/>
    <n v="4"/>
    <n v="3"/>
    <n v="3"/>
    <n v="2"/>
    <n v="2"/>
    <n v="2"/>
    <n v="0"/>
    <s v="0-2 yrs"/>
  </r>
  <r>
    <n v="39"/>
    <x v="1"/>
    <s v="Travel_Rarely"/>
    <n v="408"/>
    <x v="1"/>
    <n v="2"/>
    <n v="4"/>
    <s v="Technical Degree"/>
    <n v="1"/>
    <n v="721"/>
    <n v="4"/>
    <s v="Female"/>
    <n v="80"/>
    <n v="2"/>
    <n v="2"/>
    <s v="Healthcare Representative"/>
    <x v="2"/>
    <s v="Single"/>
    <x v="507"/>
    <n v="20978"/>
    <n v="1"/>
    <s v="Y"/>
    <s v="No"/>
    <n v="11"/>
    <n v="3"/>
    <n v="1"/>
    <n v="80"/>
    <n v="0"/>
    <n v="20"/>
    <n v="4"/>
    <n v="3"/>
    <n v="20"/>
    <n v="7"/>
    <n v="11"/>
    <n v="10"/>
    <s v="5+ yrs"/>
  </r>
  <r>
    <n v="32"/>
    <x v="1"/>
    <s v="Travel_Rarely"/>
    <n v="929"/>
    <x v="0"/>
    <n v="10"/>
    <n v="3"/>
    <s v="Marketing"/>
    <n v="1"/>
    <n v="722"/>
    <n v="4"/>
    <s v="Male"/>
    <n v="55"/>
    <n v="3"/>
    <n v="2"/>
    <s v="Sales Executive"/>
    <x v="0"/>
    <s v="Single"/>
    <x v="508"/>
    <n v="21703"/>
    <n v="1"/>
    <s v="Y"/>
    <s v="No"/>
    <n v="12"/>
    <n v="3"/>
    <n v="4"/>
    <n v="80"/>
    <n v="0"/>
    <n v="10"/>
    <n v="2"/>
    <n v="2"/>
    <n v="10"/>
    <n v="7"/>
    <n v="0"/>
    <n v="8"/>
    <s v="5+ yrs"/>
  </r>
  <r>
    <n v="50"/>
    <x v="0"/>
    <s v="Travel_Frequently"/>
    <n v="562"/>
    <x v="0"/>
    <n v="8"/>
    <n v="2"/>
    <s v="Technical Degree"/>
    <n v="1"/>
    <n v="723"/>
    <n v="2"/>
    <s v="Male"/>
    <n v="50"/>
    <n v="3"/>
    <n v="2"/>
    <s v="Sales Executive"/>
    <x v="2"/>
    <s v="Married"/>
    <x v="509"/>
    <n v="23452"/>
    <n v="3"/>
    <s v="Y"/>
    <s v="Yes"/>
    <n v="14"/>
    <n v="3"/>
    <n v="1"/>
    <n v="80"/>
    <n v="1"/>
    <n v="18"/>
    <n v="4"/>
    <n v="3"/>
    <n v="4"/>
    <n v="3"/>
    <n v="1"/>
    <n v="3"/>
    <s v="3-5 yrs"/>
  </r>
  <r>
    <n v="38"/>
    <x v="1"/>
    <s v="Travel_Rarely"/>
    <n v="827"/>
    <x v="1"/>
    <n v="1"/>
    <n v="4"/>
    <s v="Life Sciences"/>
    <n v="1"/>
    <n v="724"/>
    <n v="2"/>
    <s v="Female"/>
    <n v="33"/>
    <n v="4"/>
    <n v="2"/>
    <s v="Healthcare Representative"/>
    <x v="0"/>
    <s v="Single"/>
    <x v="510"/>
    <n v="19383"/>
    <n v="0"/>
    <s v="Y"/>
    <s v="No"/>
    <n v="13"/>
    <n v="3"/>
    <n v="3"/>
    <n v="80"/>
    <n v="0"/>
    <n v="10"/>
    <n v="4"/>
    <n v="2"/>
    <n v="9"/>
    <n v="7"/>
    <n v="1"/>
    <n v="8"/>
    <s v="5+ yrs"/>
  </r>
  <r>
    <n v="27"/>
    <x v="1"/>
    <s v="Travel_Rarely"/>
    <n v="608"/>
    <x v="1"/>
    <n v="1"/>
    <n v="2"/>
    <s v="Life Sciences"/>
    <n v="1"/>
    <n v="725"/>
    <n v="3"/>
    <s v="Female"/>
    <n v="68"/>
    <n v="3"/>
    <n v="3"/>
    <s v="Manufacturing Director"/>
    <x v="3"/>
    <s v="Married"/>
    <x v="511"/>
    <n v="6009"/>
    <n v="1"/>
    <s v="Y"/>
    <s v="No"/>
    <n v="11"/>
    <n v="3"/>
    <n v="4"/>
    <n v="80"/>
    <n v="0"/>
    <n v="9"/>
    <n v="3"/>
    <n v="3"/>
    <n v="9"/>
    <n v="7"/>
    <n v="0"/>
    <n v="7"/>
    <s v="5+ yrs"/>
  </r>
  <r>
    <n v="32"/>
    <x v="1"/>
    <s v="Travel_Rarely"/>
    <n v="1018"/>
    <x v="1"/>
    <n v="3"/>
    <n v="2"/>
    <s v="Life Sciences"/>
    <n v="1"/>
    <n v="727"/>
    <n v="3"/>
    <s v="Female"/>
    <n v="39"/>
    <n v="3"/>
    <n v="3"/>
    <s v="Research Director"/>
    <x v="0"/>
    <s v="Single"/>
    <x v="512"/>
    <n v="19373"/>
    <n v="3"/>
    <s v="Y"/>
    <s v="No"/>
    <n v="15"/>
    <n v="3"/>
    <n v="4"/>
    <n v="80"/>
    <n v="0"/>
    <n v="10"/>
    <n v="6"/>
    <n v="3"/>
    <n v="7"/>
    <n v="7"/>
    <n v="7"/>
    <n v="7"/>
    <s v="5+ yrs"/>
  </r>
  <r>
    <n v="47"/>
    <x v="1"/>
    <s v="Travel_Rarely"/>
    <n v="703"/>
    <x v="0"/>
    <n v="14"/>
    <n v="4"/>
    <s v="Marketing"/>
    <n v="1"/>
    <n v="728"/>
    <n v="4"/>
    <s v="Male"/>
    <n v="42"/>
    <n v="3"/>
    <n v="2"/>
    <s v="Sales Executive"/>
    <x v="3"/>
    <s v="Single"/>
    <x v="513"/>
    <n v="11825"/>
    <n v="2"/>
    <s v="Y"/>
    <s v="No"/>
    <n v="12"/>
    <n v="3"/>
    <n v="4"/>
    <n v="80"/>
    <n v="0"/>
    <n v="20"/>
    <n v="2"/>
    <n v="3"/>
    <n v="7"/>
    <n v="7"/>
    <n v="1"/>
    <n v="7"/>
    <s v="5+ yrs"/>
  </r>
  <r>
    <n v="40"/>
    <x v="1"/>
    <s v="Travel_Frequently"/>
    <n v="580"/>
    <x v="0"/>
    <n v="5"/>
    <n v="4"/>
    <s v="Life Sciences"/>
    <n v="1"/>
    <n v="729"/>
    <n v="4"/>
    <s v="Male"/>
    <n v="48"/>
    <n v="2"/>
    <n v="3"/>
    <s v="Sales Executive"/>
    <x v="3"/>
    <s v="Married"/>
    <x v="514"/>
    <n v="23772"/>
    <n v="5"/>
    <s v="Y"/>
    <s v="Yes"/>
    <n v="21"/>
    <n v="4"/>
    <n v="3"/>
    <n v="80"/>
    <n v="1"/>
    <n v="20"/>
    <n v="2"/>
    <n v="3"/>
    <n v="18"/>
    <n v="13"/>
    <n v="1"/>
    <n v="12"/>
    <s v="5+ yrs"/>
  </r>
  <r>
    <n v="53"/>
    <x v="1"/>
    <s v="Travel_Rarely"/>
    <n v="970"/>
    <x v="1"/>
    <n v="7"/>
    <n v="3"/>
    <s v="Life Sciences"/>
    <n v="1"/>
    <n v="730"/>
    <n v="3"/>
    <s v="Male"/>
    <n v="59"/>
    <n v="4"/>
    <n v="4"/>
    <s v="Research Director"/>
    <x v="2"/>
    <s v="Married"/>
    <x v="515"/>
    <n v="13514"/>
    <n v="3"/>
    <s v="Y"/>
    <s v="No"/>
    <n v="19"/>
    <n v="3"/>
    <n v="3"/>
    <n v="80"/>
    <n v="0"/>
    <n v="32"/>
    <n v="3"/>
    <n v="3"/>
    <n v="5"/>
    <n v="1"/>
    <n v="1"/>
    <n v="3"/>
    <s v="3-5 yrs"/>
  </r>
  <r>
    <n v="41"/>
    <x v="1"/>
    <s v="Travel_Rarely"/>
    <n v="427"/>
    <x v="2"/>
    <n v="10"/>
    <n v="4"/>
    <s v="Human Resources"/>
    <n v="1"/>
    <n v="731"/>
    <n v="2"/>
    <s v="Male"/>
    <n v="73"/>
    <n v="2"/>
    <n v="5"/>
    <s v="Manager"/>
    <x v="0"/>
    <s v="Divorced"/>
    <x v="516"/>
    <n v="8861"/>
    <n v="3"/>
    <s v="Y"/>
    <s v="No"/>
    <n v="15"/>
    <n v="3"/>
    <n v="2"/>
    <n v="80"/>
    <n v="3"/>
    <n v="23"/>
    <n v="2"/>
    <n v="2"/>
    <n v="21"/>
    <n v="6"/>
    <n v="12"/>
    <n v="6"/>
    <s v="5+ yrs"/>
  </r>
  <r>
    <n v="60"/>
    <x v="1"/>
    <s v="Travel_Rarely"/>
    <n v="1179"/>
    <x v="0"/>
    <n v="16"/>
    <n v="4"/>
    <s v="Marketing"/>
    <n v="1"/>
    <n v="732"/>
    <n v="1"/>
    <s v="Male"/>
    <n v="84"/>
    <n v="3"/>
    <n v="2"/>
    <s v="Sales Executive"/>
    <x v="3"/>
    <s v="Single"/>
    <x v="517"/>
    <n v="11924"/>
    <n v="8"/>
    <s v="Y"/>
    <s v="No"/>
    <n v="14"/>
    <n v="3"/>
    <n v="4"/>
    <n v="80"/>
    <n v="0"/>
    <n v="10"/>
    <n v="1"/>
    <n v="3"/>
    <n v="2"/>
    <n v="2"/>
    <n v="2"/>
    <n v="2"/>
    <s v="0-2 yrs"/>
  </r>
  <r>
    <n v="27"/>
    <x v="1"/>
    <s v="Travel_Frequently"/>
    <n v="294"/>
    <x v="1"/>
    <n v="10"/>
    <n v="2"/>
    <s v="Life Sciences"/>
    <n v="1"/>
    <n v="733"/>
    <n v="4"/>
    <s v="Male"/>
    <n v="32"/>
    <n v="3"/>
    <n v="3"/>
    <s v="Manufacturing Director"/>
    <x v="3"/>
    <s v="Divorced"/>
    <x v="518"/>
    <n v="4809"/>
    <n v="1"/>
    <s v="Y"/>
    <s v="No"/>
    <n v="21"/>
    <n v="4"/>
    <n v="3"/>
    <n v="80"/>
    <n v="2"/>
    <n v="9"/>
    <n v="4"/>
    <n v="2"/>
    <n v="9"/>
    <n v="7"/>
    <n v="1"/>
    <n v="7"/>
    <s v="5+ yrs"/>
  </r>
  <r>
    <n v="41"/>
    <x v="1"/>
    <s v="Travel_Rarely"/>
    <n v="314"/>
    <x v="2"/>
    <n v="1"/>
    <n v="3"/>
    <s v="Human Resources"/>
    <n v="1"/>
    <n v="734"/>
    <n v="4"/>
    <s v="Male"/>
    <n v="59"/>
    <n v="2"/>
    <n v="5"/>
    <s v="Manager"/>
    <x v="2"/>
    <s v="Married"/>
    <x v="519"/>
    <n v="19562"/>
    <n v="1"/>
    <s v="Y"/>
    <s v="No"/>
    <n v="12"/>
    <n v="3"/>
    <n v="2"/>
    <n v="80"/>
    <n v="1"/>
    <n v="22"/>
    <n v="3"/>
    <n v="3"/>
    <n v="22"/>
    <n v="7"/>
    <n v="2"/>
    <n v="10"/>
    <s v="5+ yrs"/>
  </r>
  <r>
    <n v="50"/>
    <x v="1"/>
    <s v="Travel_Rarely"/>
    <n v="316"/>
    <x v="0"/>
    <n v="8"/>
    <n v="4"/>
    <s v="Marketing"/>
    <n v="1"/>
    <n v="738"/>
    <n v="4"/>
    <s v="Male"/>
    <n v="54"/>
    <n v="3"/>
    <n v="1"/>
    <s v="Sales Representative"/>
    <x v="1"/>
    <s v="Married"/>
    <x v="520"/>
    <n v="9983"/>
    <n v="7"/>
    <s v="Y"/>
    <s v="No"/>
    <n v="15"/>
    <n v="3"/>
    <n v="4"/>
    <n v="80"/>
    <n v="1"/>
    <n v="4"/>
    <n v="2"/>
    <n v="3"/>
    <n v="2"/>
    <n v="2"/>
    <n v="2"/>
    <n v="2"/>
    <s v="0-2 yrs"/>
  </r>
  <r>
    <n v="28"/>
    <x v="0"/>
    <s v="Travel_Rarely"/>
    <n v="654"/>
    <x v="1"/>
    <n v="1"/>
    <n v="2"/>
    <s v="Life Sciences"/>
    <n v="1"/>
    <n v="741"/>
    <n v="1"/>
    <s v="Female"/>
    <n v="67"/>
    <n v="1"/>
    <n v="1"/>
    <s v="Research Scientist"/>
    <x v="1"/>
    <s v="Single"/>
    <x v="521"/>
    <n v="3872"/>
    <n v="7"/>
    <s v="Y"/>
    <s v="Yes"/>
    <n v="13"/>
    <n v="3"/>
    <n v="4"/>
    <n v="80"/>
    <n v="0"/>
    <n v="10"/>
    <n v="4"/>
    <n v="3"/>
    <n v="7"/>
    <n v="7"/>
    <n v="3"/>
    <n v="7"/>
    <s v="5+ yrs"/>
  </r>
  <r>
    <n v="36"/>
    <x v="1"/>
    <s v="Non-Travel"/>
    <n v="427"/>
    <x v="1"/>
    <n v="8"/>
    <n v="3"/>
    <s v="Life Sciences"/>
    <n v="1"/>
    <n v="742"/>
    <n v="1"/>
    <s v="Female"/>
    <n v="63"/>
    <n v="4"/>
    <n v="3"/>
    <s v="Research Director"/>
    <x v="3"/>
    <s v="Married"/>
    <x v="522"/>
    <n v="20335"/>
    <n v="9"/>
    <s v="Y"/>
    <s v="No"/>
    <n v="14"/>
    <n v="3"/>
    <n v="1"/>
    <n v="80"/>
    <n v="1"/>
    <n v="10"/>
    <n v="2"/>
    <n v="3"/>
    <n v="8"/>
    <n v="7"/>
    <n v="0"/>
    <n v="5"/>
    <s v="5+ yrs"/>
  </r>
  <r>
    <n v="38"/>
    <x v="1"/>
    <s v="Travel_Rarely"/>
    <n v="168"/>
    <x v="1"/>
    <n v="1"/>
    <n v="3"/>
    <s v="Life Sciences"/>
    <n v="1"/>
    <n v="743"/>
    <n v="3"/>
    <s v="Female"/>
    <n v="81"/>
    <n v="3"/>
    <n v="3"/>
    <s v="Manufacturing Director"/>
    <x v="2"/>
    <s v="Single"/>
    <x v="523"/>
    <n v="15397"/>
    <n v="4"/>
    <s v="Y"/>
    <s v="Yes"/>
    <n v="14"/>
    <n v="3"/>
    <n v="4"/>
    <n v="80"/>
    <n v="0"/>
    <n v="10"/>
    <n v="4"/>
    <n v="4"/>
    <n v="1"/>
    <n v="0"/>
    <n v="0"/>
    <n v="0"/>
    <s v="0-2 yrs"/>
  </r>
  <r>
    <n v="44"/>
    <x v="1"/>
    <s v="Non-Travel"/>
    <n v="381"/>
    <x v="1"/>
    <n v="24"/>
    <n v="3"/>
    <s v="Medical"/>
    <n v="1"/>
    <n v="744"/>
    <n v="1"/>
    <s v="Male"/>
    <n v="49"/>
    <n v="1"/>
    <n v="1"/>
    <s v="Laboratory Technician"/>
    <x v="2"/>
    <s v="Single"/>
    <x v="524"/>
    <n v="2104"/>
    <n v="2"/>
    <s v="Y"/>
    <s v="No"/>
    <n v="14"/>
    <n v="3"/>
    <n v="3"/>
    <n v="80"/>
    <n v="0"/>
    <n v="9"/>
    <n v="5"/>
    <n v="3"/>
    <n v="5"/>
    <n v="2"/>
    <n v="1"/>
    <n v="4"/>
    <s v="3-5 yrs"/>
  </r>
  <r>
    <n v="47"/>
    <x v="1"/>
    <s v="Travel_Frequently"/>
    <n v="217"/>
    <x v="0"/>
    <n v="3"/>
    <n v="3"/>
    <s v="Medical"/>
    <n v="1"/>
    <n v="746"/>
    <n v="4"/>
    <s v="Female"/>
    <n v="49"/>
    <n v="3"/>
    <n v="4"/>
    <s v="Sales Executive"/>
    <x v="2"/>
    <s v="Divorced"/>
    <x v="525"/>
    <n v="10225"/>
    <n v="9"/>
    <s v="Y"/>
    <s v="Yes"/>
    <n v="12"/>
    <n v="3"/>
    <n v="4"/>
    <n v="80"/>
    <n v="2"/>
    <n v="28"/>
    <n v="2"/>
    <n v="2"/>
    <n v="22"/>
    <n v="2"/>
    <n v="11"/>
    <n v="13"/>
    <s v="5+ yrs"/>
  </r>
  <r>
    <n v="30"/>
    <x v="1"/>
    <s v="Travel_Rarely"/>
    <n v="501"/>
    <x v="0"/>
    <n v="27"/>
    <n v="5"/>
    <s v="Marketing"/>
    <n v="1"/>
    <n v="747"/>
    <n v="3"/>
    <s v="Male"/>
    <n v="99"/>
    <n v="3"/>
    <n v="2"/>
    <s v="Sales Executive"/>
    <x v="0"/>
    <s v="Divorced"/>
    <x v="367"/>
    <n v="25275"/>
    <n v="7"/>
    <s v="Y"/>
    <s v="No"/>
    <n v="23"/>
    <n v="4"/>
    <n v="4"/>
    <n v="80"/>
    <n v="1"/>
    <n v="10"/>
    <n v="2"/>
    <n v="2"/>
    <n v="8"/>
    <n v="7"/>
    <n v="7"/>
    <n v="7"/>
    <s v="5+ yrs"/>
  </r>
  <r>
    <n v="29"/>
    <x v="1"/>
    <s v="Travel_Rarely"/>
    <n v="1396"/>
    <x v="0"/>
    <n v="10"/>
    <n v="3"/>
    <s v="Life Sciences"/>
    <n v="1"/>
    <n v="749"/>
    <n v="3"/>
    <s v="Male"/>
    <n v="99"/>
    <n v="3"/>
    <n v="1"/>
    <s v="Sales Representative"/>
    <x v="2"/>
    <s v="Single"/>
    <x v="526"/>
    <n v="2755"/>
    <n v="1"/>
    <s v="Y"/>
    <s v="No"/>
    <n v="11"/>
    <n v="3"/>
    <n v="3"/>
    <n v="80"/>
    <n v="0"/>
    <n v="1"/>
    <n v="6"/>
    <n v="3"/>
    <n v="1"/>
    <n v="0"/>
    <n v="0"/>
    <n v="0"/>
    <s v="0-2 yrs"/>
  </r>
  <r>
    <n v="42"/>
    <x v="0"/>
    <s v="Travel_Frequently"/>
    <n v="933"/>
    <x v="1"/>
    <n v="19"/>
    <n v="3"/>
    <s v="Medical"/>
    <n v="1"/>
    <n v="752"/>
    <n v="3"/>
    <s v="Male"/>
    <n v="57"/>
    <n v="4"/>
    <n v="1"/>
    <s v="Research Scientist"/>
    <x v="2"/>
    <s v="Divorced"/>
    <x v="527"/>
    <n v="20366"/>
    <n v="6"/>
    <s v="Y"/>
    <s v="Yes"/>
    <n v="12"/>
    <n v="3"/>
    <n v="4"/>
    <n v="80"/>
    <n v="0"/>
    <n v="7"/>
    <n v="2"/>
    <n v="3"/>
    <n v="2"/>
    <n v="2"/>
    <n v="2"/>
    <n v="2"/>
    <s v="0-2 yrs"/>
  </r>
  <r>
    <n v="43"/>
    <x v="1"/>
    <s v="Travel_Frequently"/>
    <n v="775"/>
    <x v="0"/>
    <n v="15"/>
    <n v="3"/>
    <s v="Life Sciences"/>
    <n v="1"/>
    <n v="754"/>
    <n v="4"/>
    <s v="Male"/>
    <n v="47"/>
    <n v="2"/>
    <n v="2"/>
    <s v="Sales Executive"/>
    <x v="0"/>
    <s v="Married"/>
    <x v="197"/>
    <n v="23683"/>
    <n v="3"/>
    <s v="Y"/>
    <s v="No"/>
    <n v="18"/>
    <n v="3"/>
    <n v="3"/>
    <n v="80"/>
    <n v="1"/>
    <n v="7"/>
    <n v="5"/>
    <n v="3"/>
    <n v="2"/>
    <n v="2"/>
    <n v="2"/>
    <n v="2"/>
    <s v="0-2 yrs"/>
  </r>
  <r>
    <n v="34"/>
    <x v="1"/>
    <s v="Travel_Rarely"/>
    <n v="970"/>
    <x v="1"/>
    <n v="8"/>
    <n v="2"/>
    <s v="Medical"/>
    <n v="1"/>
    <n v="757"/>
    <n v="2"/>
    <s v="Female"/>
    <n v="96"/>
    <n v="3"/>
    <n v="2"/>
    <s v="Healthcare Representative"/>
    <x v="2"/>
    <s v="Single"/>
    <x v="528"/>
    <n v="7360"/>
    <n v="3"/>
    <s v="Y"/>
    <s v="No"/>
    <n v="11"/>
    <n v="3"/>
    <n v="4"/>
    <n v="80"/>
    <n v="0"/>
    <n v="10"/>
    <n v="2"/>
    <n v="3"/>
    <n v="5"/>
    <n v="1"/>
    <n v="4"/>
    <n v="3"/>
    <s v="3-5 yrs"/>
  </r>
  <r>
    <n v="23"/>
    <x v="1"/>
    <s v="Travel_Rarely"/>
    <n v="650"/>
    <x v="1"/>
    <n v="9"/>
    <n v="1"/>
    <s v="Medical"/>
    <n v="1"/>
    <n v="758"/>
    <n v="2"/>
    <s v="Male"/>
    <n v="37"/>
    <n v="3"/>
    <n v="1"/>
    <s v="Laboratory Technician"/>
    <x v="3"/>
    <s v="Married"/>
    <x v="172"/>
    <n v="4344"/>
    <n v="1"/>
    <s v="Y"/>
    <s v="No"/>
    <n v="14"/>
    <n v="3"/>
    <n v="4"/>
    <n v="80"/>
    <n v="1"/>
    <n v="5"/>
    <n v="2"/>
    <n v="4"/>
    <n v="4"/>
    <n v="3"/>
    <n v="0"/>
    <n v="2"/>
    <s v="3-5 yrs"/>
  </r>
  <r>
    <n v="39"/>
    <x v="1"/>
    <s v="Travel_Rarely"/>
    <n v="141"/>
    <x v="2"/>
    <n v="3"/>
    <n v="3"/>
    <s v="Human Resources"/>
    <n v="1"/>
    <n v="760"/>
    <n v="3"/>
    <s v="Female"/>
    <n v="44"/>
    <n v="4"/>
    <n v="2"/>
    <s v="Human Resources"/>
    <x v="1"/>
    <s v="Married"/>
    <x v="529"/>
    <n v="18767"/>
    <n v="9"/>
    <s v="Y"/>
    <s v="No"/>
    <n v="15"/>
    <n v="3"/>
    <n v="3"/>
    <n v="80"/>
    <n v="1"/>
    <n v="12"/>
    <n v="3"/>
    <n v="1"/>
    <n v="8"/>
    <n v="3"/>
    <n v="3"/>
    <n v="6"/>
    <s v="5+ yrs"/>
  </r>
  <r>
    <n v="56"/>
    <x v="1"/>
    <s v="Travel_Rarely"/>
    <n v="832"/>
    <x v="1"/>
    <n v="9"/>
    <n v="3"/>
    <s v="Medical"/>
    <n v="1"/>
    <n v="762"/>
    <n v="3"/>
    <s v="Male"/>
    <n v="81"/>
    <n v="3"/>
    <n v="4"/>
    <s v="Healthcare Representative"/>
    <x v="0"/>
    <s v="Married"/>
    <x v="530"/>
    <n v="20420"/>
    <n v="7"/>
    <s v="Y"/>
    <s v="No"/>
    <n v="11"/>
    <n v="3"/>
    <n v="3"/>
    <n v="80"/>
    <n v="0"/>
    <n v="30"/>
    <n v="1"/>
    <n v="2"/>
    <n v="10"/>
    <n v="7"/>
    <n v="1"/>
    <n v="1"/>
    <s v="5+ yrs"/>
  </r>
  <r>
    <n v="40"/>
    <x v="1"/>
    <s v="Travel_Rarely"/>
    <n v="804"/>
    <x v="1"/>
    <n v="2"/>
    <n v="1"/>
    <s v="Medical"/>
    <n v="1"/>
    <n v="763"/>
    <n v="4"/>
    <s v="Female"/>
    <n v="86"/>
    <n v="2"/>
    <n v="1"/>
    <s v="Research Scientist"/>
    <x v="0"/>
    <s v="Single"/>
    <x v="531"/>
    <n v="22929"/>
    <n v="0"/>
    <s v="Y"/>
    <s v="Yes"/>
    <n v="20"/>
    <n v="4"/>
    <n v="4"/>
    <n v="80"/>
    <n v="0"/>
    <n v="5"/>
    <n v="2"/>
    <n v="2"/>
    <n v="4"/>
    <n v="2"/>
    <n v="2"/>
    <n v="3"/>
    <s v="3-5 yrs"/>
  </r>
  <r>
    <n v="27"/>
    <x v="1"/>
    <s v="Travel_Rarely"/>
    <n v="975"/>
    <x v="1"/>
    <n v="7"/>
    <n v="3"/>
    <s v="Medical"/>
    <n v="1"/>
    <n v="764"/>
    <n v="4"/>
    <s v="Female"/>
    <n v="55"/>
    <n v="2"/>
    <n v="2"/>
    <s v="Healthcare Representative"/>
    <x v="3"/>
    <s v="Single"/>
    <x v="445"/>
    <n v="23398"/>
    <n v="8"/>
    <s v="Y"/>
    <s v="No"/>
    <n v="19"/>
    <n v="3"/>
    <n v="1"/>
    <n v="80"/>
    <n v="0"/>
    <n v="9"/>
    <n v="2"/>
    <n v="1"/>
    <n v="7"/>
    <n v="6"/>
    <n v="0"/>
    <n v="7"/>
    <s v="5+ yrs"/>
  </r>
  <r>
    <n v="29"/>
    <x v="1"/>
    <s v="Travel_Rarely"/>
    <n v="1090"/>
    <x v="0"/>
    <n v="10"/>
    <n v="3"/>
    <s v="Marketing"/>
    <n v="1"/>
    <n v="766"/>
    <n v="4"/>
    <s v="Male"/>
    <n v="83"/>
    <n v="3"/>
    <n v="1"/>
    <s v="Sales Representative"/>
    <x v="1"/>
    <s v="Divorced"/>
    <x v="532"/>
    <n v="17967"/>
    <n v="1"/>
    <s v="Y"/>
    <s v="No"/>
    <n v="14"/>
    <n v="3"/>
    <n v="4"/>
    <n v="80"/>
    <n v="2"/>
    <n v="2"/>
    <n v="2"/>
    <n v="3"/>
    <n v="2"/>
    <n v="2"/>
    <n v="2"/>
    <n v="2"/>
    <s v="0-2 yrs"/>
  </r>
  <r>
    <n v="53"/>
    <x v="1"/>
    <s v="Travel_Rarely"/>
    <n v="346"/>
    <x v="1"/>
    <n v="6"/>
    <n v="3"/>
    <s v="Life Sciences"/>
    <n v="1"/>
    <n v="769"/>
    <n v="4"/>
    <s v="Male"/>
    <n v="86"/>
    <n v="3"/>
    <n v="2"/>
    <s v="Laboratory Technician"/>
    <x v="0"/>
    <s v="Single"/>
    <x v="533"/>
    <n v="10919"/>
    <n v="2"/>
    <s v="Y"/>
    <s v="No"/>
    <n v="17"/>
    <n v="3"/>
    <n v="4"/>
    <n v="80"/>
    <n v="0"/>
    <n v="19"/>
    <n v="4"/>
    <n v="3"/>
    <n v="2"/>
    <n v="2"/>
    <n v="2"/>
    <n v="2"/>
    <s v="0-2 yrs"/>
  </r>
  <r>
    <n v="35"/>
    <x v="1"/>
    <s v="Non-Travel"/>
    <n v="1225"/>
    <x v="1"/>
    <n v="2"/>
    <n v="4"/>
    <s v="Life Sciences"/>
    <n v="1"/>
    <n v="771"/>
    <n v="4"/>
    <s v="Female"/>
    <n v="61"/>
    <n v="3"/>
    <n v="2"/>
    <s v="Healthcare Representative"/>
    <x v="3"/>
    <s v="Divorced"/>
    <x v="534"/>
    <n v="4761"/>
    <n v="2"/>
    <s v="Y"/>
    <s v="No"/>
    <n v="11"/>
    <n v="3"/>
    <n v="1"/>
    <n v="80"/>
    <n v="1"/>
    <n v="16"/>
    <n v="2"/>
    <n v="4"/>
    <n v="1"/>
    <n v="0"/>
    <n v="0"/>
    <n v="0"/>
    <s v="0-2 yrs"/>
  </r>
  <r>
    <n v="32"/>
    <x v="1"/>
    <s v="Travel_Frequently"/>
    <n v="430"/>
    <x v="1"/>
    <n v="24"/>
    <n v="4"/>
    <s v="Life Sciences"/>
    <n v="1"/>
    <n v="772"/>
    <n v="1"/>
    <s v="Male"/>
    <n v="80"/>
    <n v="3"/>
    <n v="2"/>
    <s v="Laboratory Technician"/>
    <x v="0"/>
    <s v="Married"/>
    <x v="535"/>
    <n v="21146"/>
    <n v="1"/>
    <s v="Y"/>
    <s v="No"/>
    <n v="15"/>
    <n v="3"/>
    <n v="4"/>
    <n v="80"/>
    <n v="2"/>
    <n v="10"/>
    <n v="2"/>
    <n v="3"/>
    <n v="10"/>
    <n v="8"/>
    <n v="4"/>
    <n v="7"/>
    <s v="5+ yrs"/>
  </r>
  <r>
    <n v="38"/>
    <x v="1"/>
    <s v="Travel_Rarely"/>
    <n v="268"/>
    <x v="1"/>
    <n v="2"/>
    <n v="5"/>
    <s v="Medical"/>
    <n v="1"/>
    <n v="773"/>
    <n v="4"/>
    <s v="Male"/>
    <n v="92"/>
    <n v="3"/>
    <n v="1"/>
    <s v="Research Scientist"/>
    <x v="2"/>
    <s v="Married"/>
    <x v="536"/>
    <n v="20471"/>
    <n v="6"/>
    <s v="Y"/>
    <s v="Yes"/>
    <n v="13"/>
    <n v="3"/>
    <n v="2"/>
    <n v="80"/>
    <n v="1"/>
    <n v="6"/>
    <n v="0"/>
    <n v="1"/>
    <n v="1"/>
    <n v="0"/>
    <n v="0"/>
    <n v="1"/>
    <s v="0-2 yrs"/>
  </r>
  <r>
    <n v="34"/>
    <x v="1"/>
    <s v="Travel_Rarely"/>
    <n v="167"/>
    <x v="1"/>
    <n v="8"/>
    <n v="5"/>
    <s v="Life Sciences"/>
    <n v="1"/>
    <n v="775"/>
    <n v="2"/>
    <s v="Female"/>
    <n v="32"/>
    <n v="3"/>
    <n v="2"/>
    <s v="Manufacturing Director"/>
    <x v="3"/>
    <s v="Divorced"/>
    <x v="537"/>
    <n v="4187"/>
    <n v="3"/>
    <s v="Y"/>
    <s v="No"/>
    <n v="14"/>
    <n v="3"/>
    <n v="3"/>
    <n v="80"/>
    <n v="1"/>
    <n v="7"/>
    <n v="3"/>
    <n v="3"/>
    <n v="0"/>
    <n v="0"/>
    <n v="0"/>
    <n v="0"/>
    <s v="0-2 yrs"/>
  </r>
  <r>
    <n v="52"/>
    <x v="1"/>
    <s v="Travel_Rarely"/>
    <n v="621"/>
    <x v="0"/>
    <n v="3"/>
    <n v="4"/>
    <s v="Marketing"/>
    <n v="1"/>
    <n v="776"/>
    <n v="3"/>
    <s v="Male"/>
    <n v="31"/>
    <n v="2"/>
    <n v="4"/>
    <s v="Manager"/>
    <x v="3"/>
    <s v="Married"/>
    <x v="538"/>
    <n v="10084"/>
    <n v="1"/>
    <s v="Y"/>
    <s v="No"/>
    <n v="11"/>
    <n v="3"/>
    <n v="1"/>
    <n v="80"/>
    <n v="0"/>
    <n v="34"/>
    <n v="3"/>
    <n v="4"/>
    <n v="34"/>
    <n v="6"/>
    <n v="1"/>
    <n v="16"/>
    <s v="5+ yrs"/>
  </r>
  <r>
    <n v="33"/>
    <x v="0"/>
    <s v="Travel_Rarely"/>
    <n v="527"/>
    <x v="1"/>
    <n v="1"/>
    <n v="4"/>
    <s v="Other"/>
    <n v="1"/>
    <n v="780"/>
    <n v="4"/>
    <s v="Male"/>
    <n v="63"/>
    <n v="3"/>
    <n v="1"/>
    <s v="Research Scientist"/>
    <x v="0"/>
    <s v="Single"/>
    <x v="539"/>
    <n v="5207"/>
    <n v="1"/>
    <s v="Y"/>
    <s v="Yes"/>
    <n v="13"/>
    <n v="3"/>
    <n v="3"/>
    <n v="80"/>
    <n v="0"/>
    <n v="10"/>
    <n v="2"/>
    <n v="2"/>
    <n v="10"/>
    <n v="9"/>
    <n v="7"/>
    <n v="8"/>
    <s v="5+ yrs"/>
  </r>
  <r>
    <n v="25"/>
    <x v="1"/>
    <s v="Travel_Rarely"/>
    <n v="883"/>
    <x v="0"/>
    <n v="26"/>
    <n v="1"/>
    <s v="Medical"/>
    <n v="1"/>
    <n v="781"/>
    <n v="3"/>
    <s v="Female"/>
    <n v="32"/>
    <n v="3"/>
    <n v="2"/>
    <s v="Sales Executive"/>
    <x v="0"/>
    <s v="Single"/>
    <x v="540"/>
    <n v="22807"/>
    <n v="1"/>
    <s v="Y"/>
    <s v="No"/>
    <n v="23"/>
    <n v="4"/>
    <n v="2"/>
    <n v="80"/>
    <n v="0"/>
    <n v="6"/>
    <n v="5"/>
    <n v="2"/>
    <n v="6"/>
    <n v="5"/>
    <n v="1"/>
    <n v="4"/>
    <s v="5+ yrs"/>
  </r>
  <r>
    <n v="45"/>
    <x v="1"/>
    <s v="Travel_Rarely"/>
    <n v="954"/>
    <x v="0"/>
    <n v="2"/>
    <n v="2"/>
    <s v="Technical Degree"/>
    <n v="1"/>
    <n v="783"/>
    <n v="2"/>
    <s v="Male"/>
    <n v="46"/>
    <n v="1"/>
    <n v="2"/>
    <s v="Sales Representative"/>
    <x v="2"/>
    <s v="Single"/>
    <x v="541"/>
    <n v="12388"/>
    <n v="0"/>
    <s v="Y"/>
    <s v="No"/>
    <n v="13"/>
    <n v="3"/>
    <n v="1"/>
    <n v="80"/>
    <n v="0"/>
    <n v="9"/>
    <n v="3"/>
    <n v="3"/>
    <n v="8"/>
    <n v="7"/>
    <n v="3"/>
    <n v="1"/>
    <s v="5+ yrs"/>
  </r>
  <r>
    <n v="23"/>
    <x v="1"/>
    <s v="Travel_Rarely"/>
    <n v="310"/>
    <x v="1"/>
    <n v="10"/>
    <n v="1"/>
    <s v="Medical"/>
    <n v="1"/>
    <n v="784"/>
    <n v="1"/>
    <s v="Male"/>
    <n v="79"/>
    <n v="4"/>
    <n v="1"/>
    <s v="Research Scientist"/>
    <x v="2"/>
    <s v="Single"/>
    <x v="542"/>
    <n v="19630"/>
    <n v="1"/>
    <s v="Y"/>
    <s v="No"/>
    <n v="18"/>
    <n v="3"/>
    <n v="4"/>
    <n v="80"/>
    <n v="0"/>
    <n v="2"/>
    <n v="3"/>
    <n v="3"/>
    <n v="2"/>
    <n v="2"/>
    <n v="0"/>
    <n v="2"/>
    <s v="0-2 yrs"/>
  </r>
  <r>
    <n v="47"/>
    <x v="0"/>
    <s v="Travel_Frequently"/>
    <n v="719"/>
    <x v="0"/>
    <n v="27"/>
    <n v="2"/>
    <s v="Life Sciences"/>
    <n v="1"/>
    <n v="785"/>
    <n v="2"/>
    <s v="Female"/>
    <n v="77"/>
    <n v="4"/>
    <n v="2"/>
    <s v="Sales Executive"/>
    <x v="2"/>
    <s v="Single"/>
    <x v="271"/>
    <n v="10339"/>
    <n v="4"/>
    <s v="Y"/>
    <s v="Yes"/>
    <n v="12"/>
    <n v="3"/>
    <n v="4"/>
    <n v="80"/>
    <n v="0"/>
    <n v="8"/>
    <n v="2"/>
    <n v="3"/>
    <n v="5"/>
    <n v="4"/>
    <n v="1"/>
    <n v="3"/>
    <s v="3-5 yrs"/>
  </r>
  <r>
    <n v="34"/>
    <x v="1"/>
    <s v="Travel_Rarely"/>
    <n v="304"/>
    <x v="0"/>
    <n v="2"/>
    <n v="3"/>
    <s v="Other"/>
    <n v="1"/>
    <n v="786"/>
    <n v="4"/>
    <s v="Male"/>
    <n v="60"/>
    <n v="3"/>
    <n v="2"/>
    <s v="Sales Executive"/>
    <x v="0"/>
    <s v="Single"/>
    <x v="543"/>
    <n v="18686"/>
    <n v="1"/>
    <s v="Y"/>
    <s v="No"/>
    <n v="22"/>
    <n v="4"/>
    <n v="3"/>
    <n v="80"/>
    <n v="0"/>
    <n v="6"/>
    <n v="5"/>
    <n v="3"/>
    <n v="6"/>
    <n v="5"/>
    <n v="1"/>
    <n v="4"/>
    <s v="5+ yrs"/>
  </r>
  <r>
    <n v="55"/>
    <x v="0"/>
    <s v="Travel_Rarely"/>
    <n v="725"/>
    <x v="1"/>
    <n v="2"/>
    <n v="3"/>
    <s v="Medical"/>
    <n v="1"/>
    <n v="787"/>
    <n v="4"/>
    <s v="Male"/>
    <n v="78"/>
    <n v="3"/>
    <n v="5"/>
    <s v="Manager"/>
    <x v="3"/>
    <s v="Married"/>
    <x v="544"/>
    <n v="21199"/>
    <n v="5"/>
    <s v="Y"/>
    <s v="Yes"/>
    <n v="13"/>
    <n v="3"/>
    <n v="4"/>
    <n v="80"/>
    <n v="1"/>
    <n v="24"/>
    <n v="2"/>
    <n v="3"/>
    <n v="5"/>
    <n v="2"/>
    <n v="1"/>
    <n v="4"/>
    <s v="3-5 yrs"/>
  </r>
  <r>
    <n v="36"/>
    <x v="1"/>
    <s v="Non-Travel"/>
    <n v="1434"/>
    <x v="0"/>
    <n v="8"/>
    <n v="4"/>
    <s v="Life Sciences"/>
    <n v="1"/>
    <n v="789"/>
    <n v="1"/>
    <s v="Male"/>
    <n v="76"/>
    <n v="2"/>
    <n v="3"/>
    <s v="Sales Executive"/>
    <x v="3"/>
    <s v="Single"/>
    <x v="545"/>
    <n v="14229"/>
    <n v="1"/>
    <s v="Y"/>
    <s v="No"/>
    <n v="15"/>
    <n v="3"/>
    <n v="2"/>
    <n v="80"/>
    <n v="0"/>
    <n v="10"/>
    <n v="1"/>
    <n v="3"/>
    <n v="10"/>
    <n v="7"/>
    <n v="0"/>
    <n v="9"/>
    <s v="5+ yrs"/>
  </r>
  <r>
    <n v="52"/>
    <x v="1"/>
    <s v="Non-Travel"/>
    <n v="715"/>
    <x v="1"/>
    <n v="19"/>
    <n v="4"/>
    <s v="Medical"/>
    <n v="1"/>
    <n v="791"/>
    <n v="4"/>
    <s v="Male"/>
    <n v="41"/>
    <n v="3"/>
    <n v="1"/>
    <s v="Research Scientist"/>
    <x v="0"/>
    <s v="Married"/>
    <x v="546"/>
    <n v="26589"/>
    <n v="0"/>
    <s v="Y"/>
    <s v="No"/>
    <n v="18"/>
    <n v="3"/>
    <n v="1"/>
    <n v="80"/>
    <n v="1"/>
    <n v="5"/>
    <n v="3"/>
    <n v="3"/>
    <n v="4"/>
    <n v="3"/>
    <n v="1"/>
    <n v="2"/>
    <s v="3-5 yrs"/>
  </r>
  <r>
    <n v="26"/>
    <x v="1"/>
    <s v="Travel_Frequently"/>
    <n v="575"/>
    <x v="1"/>
    <n v="1"/>
    <n v="2"/>
    <s v="Life Sciences"/>
    <n v="1"/>
    <n v="792"/>
    <n v="1"/>
    <s v="Female"/>
    <n v="71"/>
    <n v="1"/>
    <n v="1"/>
    <s v="Laboratory Technician"/>
    <x v="0"/>
    <s v="Divorced"/>
    <x v="547"/>
    <n v="5288"/>
    <n v="3"/>
    <s v="Y"/>
    <s v="No"/>
    <n v="14"/>
    <n v="3"/>
    <n v="1"/>
    <n v="80"/>
    <n v="1"/>
    <n v="5"/>
    <n v="2"/>
    <n v="3"/>
    <n v="2"/>
    <n v="2"/>
    <n v="2"/>
    <n v="0"/>
    <s v="0-2 yrs"/>
  </r>
  <r>
    <n v="29"/>
    <x v="1"/>
    <s v="Travel_Rarely"/>
    <n v="657"/>
    <x v="1"/>
    <n v="27"/>
    <n v="3"/>
    <s v="Medical"/>
    <n v="1"/>
    <n v="793"/>
    <n v="2"/>
    <s v="Female"/>
    <n v="66"/>
    <n v="3"/>
    <n v="2"/>
    <s v="Healthcare Representative"/>
    <x v="2"/>
    <s v="Married"/>
    <x v="548"/>
    <n v="25549"/>
    <n v="4"/>
    <s v="Y"/>
    <s v="No"/>
    <n v="12"/>
    <n v="3"/>
    <n v="1"/>
    <n v="80"/>
    <n v="1"/>
    <n v="11"/>
    <n v="3"/>
    <n v="2"/>
    <n v="8"/>
    <n v="7"/>
    <n v="1"/>
    <n v="1"/>
    <s v="5+ yrs"/>
  </r>
  <r>
    <n v="26"/>
    <x v="0"/>
    <s v="Travel_Rarely"/>
    <n v="1146"/>
    <x v="0"/>
    <n v="8"/>
    <n v="3"/>
    <s v="Technical Degree"/>
    <n v="1"/>
    <n v="796"/>
    <n v="4"/>
    <s v="Male"/>
    <n v="38"/>
    <n v="2"/>
    <n v="2"/>
    <s v="Sales Executive"/>
    <x v="3"/>
    <s v="Single"/>
    <x v="549"/>
    <n v="3064"/>
    <n v="6"/>
    <s v="Y"/>
    <s v="No"/>
    <n v="17"/>
    <n v="3"/>
    <n v="3"/>
    <n v="80"/>
    <n v="0"/>
    <n v="6"/>
    <n v="2"/>
    <n v="2"/>
    <n v="4"/>
    <n v="3"/>
    <n v="1"/>
    <n v="2"/>
    <s v="3-5 yrs"/>
  </r>
  <r>
    <n v="34"/>
    <x v="1"/>
    <s v="Travel_Rarely"/>
    <n v="182"/>
    <x v="1"/>
    <n v="1"/>
    <n v="4"/>
    <s v="Life Sciences"/>
    <n v="1"/>
    <n v="797"/>
    <n v="2"/>
    <s v="Female"/>
    <n v="72"/>
    <n v="4"/>
    <n v="1"/>
    <s v="Research Scientist"/>
    <x v="0"/>
    <s v="Single"/>
    <x v="550"/>
    <n v="13551"/>
    <n v="2"/>
    <s v="Y"/>
    <s v="No"/>
    <n v="16"/>
    <n v="3"/>
    <n v="3"/>
    <n v="80"/>
    <n v="0"/>
    <n v="10"/>
    <n v="2"/>
    <n v="3"/>
    <n v="4"/>
    <n v="2"/>
    <n v="1"/>
    <n v="3"/>
    <s v="3-5 yrs"/>
  </r>
  <r>
    <n v="54"/>
    <x v="1"/>
    <s v="Travel_Rarely"/>
    <n v="376"/>
    <x v="1"/>
    <n v="19"/>
    <n v="4"/>
    <s v="Medical"/>
    <n v="1"/>
    <n v="799"/>
    <n v="4"/>
    <s v="Female"/>
    <n v="95"/>
    <n v="3"/>
    <n v="2"/>
    <s v="Manufacturing Director"/>
    <x v="3"/>
    <s v="Divorced"/>
    <x v="551"/>
    <n v="22670"/>
    <n v="9"/>
    <s v="Y"/>
    <s v="Yes"/>
    <n v="11"/>
    <n v="3"/>
    <n v="2"/>
    <n v="80"/>
    <n v="2"/>
    <n v="9"/>
    <n v="4"/>
    <n v="3"/>
    <n v="5"/>
    <n v="3"/>
    <n v="1"/>
    <n v="4"/>
    <s v="3-5 yrs"/>
  </r>
  <r>
    <n v="27"/>
    <x v="1"/>
    <s v="Travel_Frequently"/>
    <n v="829"/>
    <x v="0"/>
    <n v="8"/>
    <n v="1"/>
    <s v="Marketing"/>
    <n v="1"/>
    <n v="800"/>
    <n v="3"/>
    <s v="Male"/>
    <n v="84"/>
    <n v="3"/>
    <n v="2"/>
    <s v="Sales Executive"/>
    <x v="0"/>
    <s v="Married"/>
    <x v="552"/>
    <n v="24008"/>
    <n v="0"/>
    <s v="Y"/>
    <s v="No"/>
    <n v="19"/>
    <n v="3"/>
    <n v="2"/>
    <n v="80"/>
    <n v="1"/>
    <n v="5"/>
    <n v="3"/>
    <n v="3"/>
    <n v="4"/>
    <n v="2"/>
    <n v="1"/>
    <n v="1"/>
    <s v="3-5 yrs"/>
  </r>
  <r>
    <n v="37"/>
    <x v="1"/>
    <s v="Travel_Rarely"/>
    <n v="571"/>
    <x v="1"/>
    <n v="10"/>
    <n v="1"/>
    <s v="Life Sciences"/>
    <n v="1"/>
    <n v="802"/>
    <n v="4"/>
    <s v="Female"/>
    <n v="82"/>
    <n v="3"/>
    <n v="1"/>
    <s v="Research Scientist"/>
    <x v="3"/>
    <s v="Divorced"/>
    <x v="553"/>
    <n v="19905"/>
    <n v="0"/>
    <s v="Y"/>
    <s v="Yes"/>
    <n v="13"/>
    <n v="3"/>
    <n v="2"/>
    <n v="80"/>
    <n v="2"/>
    <n v="6"/>
    <n v="3"/>
    <n v="2"/>
    <n v="5"/>
    <n v="3"/>
    <n v="4"/>
    <n v="3"/>
    <s v="3-5 yrs"/>
  </r>
  <r>
    <n v="38"/>
    <x v="1"/>
    <s v="Travel_Frequently"/>
    <n v="240"/>
    <x v="1"/>
    <n v="2"/>
    <n v="4"/>
    <s v="Life Sciences"/>
    <n v="1"/>
    <n v="803"/>
    <n v="1"/>
    <s v="Female"/>
    <n v="75"/>
    <n v="4"/>
    <n v="2"/>
    <s v="Manufacturing Director"/>
    <x v="3"/>
    <s v="Single"/>
    <x v="554"/>
    <n v="26085"/>
    <n v="6"/>
    <s v="Y"/>
    <s v="Yes"/>
    <n v="12"/>
    <n v="3"/>
    <n v="4"/>
    <n v="80"/>
    <n v="0"/>
    <n v="17"/>
    <n v="2"/>
    <n v="3"/>
    <n v="15"/>
    <n v="7"/>
    <n v="4"/>
    <n v="12"/>
    <s v="5+ yrs"/>
  </r>
  <r>
    <n v="34"/>
    <x v="1"/>
    <s v="Travel_Rarely"/>
    <n v="121"/>
    <x v="1"/>
    <n v="2"/>
    <n v="4"/>
    <s v="Medical"/>
    <n v="1"/>
    <n v="804"/>
    <n v="3"/>
    <s v="Female"/>
    <n v="86"/>
    <n v="2"/>
    <n v="1"/>
    <s v="Research Scientist"/>
    <x v="3"/>
    <s v="Single"/>
    <x v="555"/>
    <n v="7530"/>
    <n v="1"/>
    <s v="Y"/>
    <s v="No"/>
    <n v="11"/>
    <n v="3"/>
    <n v="3"/>
    <n v="80"/>
    <n v="0"/>
    <n v="6"/>
    <n v="3"/>
    <n v="3"/>
    <n v="6"/>
    <n v="5"/>
    <n v="1"/>
    <n v="3"/>
    <s v="5+ yrs"/>
  </r>
  <r>
    <n v="35"/>
    <x v="1"/>
    <s v="Travel_Rarely"/>
    <n v="384"/>
    <x v="0"/>
    <n v="8"/>
    <n v="4"/>
    <s v="Life Sciences"/>
    <n v="1"/>
    <n v="805"/>
    <n v="1"/>
    <s v="Female"/>
    <n v="72"/>
    <n v="3"/>
    <n v="1"/>
    <s v="Sales Representative"/>
    <x v="0"/>
    <s v="Married"/>
    <x v="556"/>
    <n v="20317"/>
    <n v="1"/>
    <s v="Y"/>
    <s v="No"/>
    <n v="16"/>
    <n v="3"/>
    <n v="2"/>
    <n v="80"/>
    <n v="1"/>
    <n v="3"/>
    <n v="1"/>
    <n v="2"/>
    <n v="3"/>
    <n v="2"/>
    <n v="0"/>
    <n v="2"/>
    <s v="3-5 yrs"/>
  </r>
  <r>
    <n v="30"/>
    <x v="1"/>
    <s v="Travel_Rarely"/>
    <n v="921"/>
    <x v="1"/>
    <n v="1"/>
    <n v="3"/>
    <s v="Life Sciences"/>
    <n v="1"/>
    <n v="806"/>
    <n v="4"/>
    <s v="Male"/>
    <n v="38"/>
    <n v="1"/>
    <n v="1"/>
    <s v="Laboratory Technician"/>
    <x v="2"/>
    <s v="Married"/>
    <x v="557"/>
    <n v="24375"/>
    <n v="3"/>
    <s v="Y"/>
    <s v="No"/>
    <n v="21"/>
    <n v="4"/>
    <n v="3"/>
    <n v="80"/>
    <n v="2"/>
    <n v="7"/>
    <n v="2"/>
    <n v="3"/>
    <n v="2"/>
    <n v="2"/>
    <n v="0"/>
    <n v="2"/>
    <s v="0-2 yrs"/>
  </r>
  <r>
    <n v="40"/>
    <x v="1"/>
    <s v="Travel_Frequently"/>
    <n v="791"/>
    <x v="1"/>
    <n v="2"/>
    <n v="2"/>
    <s v="Medical"/>
    <n v="1"/>
    <n v="807"/>
    <n v="3"/>
    <s v="Female"/>
    <n v="38"/>
    <n v="4"/>
    <n v="2"/>
    <s v="Healthcare Representative"/>
    <x v="1"/>
    <s v="Married"/>
    <x v="558"/>
    <n v="9931"/>
    <n v="1"/>
    <s v="Y"/>
    <s v="No"/>
    <n v="24"/>
    <n v="4"/>
    <n v="4"/>
    <n v="80"/>
    <n v="1"/>
    <n v="8"/>
    <n v="2"/>
    <n v="3"/>
    <n v="8"/>
    <n v="7"/>
    <n v="3"/>
    <n v="7"/>
    <s v="5+ yrs"/>
  </r>
  <r>
    <n v="34"/>
    <x v="1"/>
    <s v="Travel_Rarely"/>
    <n v="1111"/>
    <x v="0"/>
    <n v="8"/>
    <n v="2"/>
    <s v="Life Sciences"/>
    <n v="1"/>
    <n v="808"/>
    <n v="3"/>
    <s v="Female"/>
    <n v="93"/>
    <n v="3"/>
    <n v="2"/>
    <s v="Sales Executive"/>
    <x v="3"/>
    <s v="Married"/>
    <x v="559"/>
    <n v="13305"/>
    <n v="5"/>
    <s v="Y"/>
    <s v="No"/>
    <n v="17"/>
    <n v="3"/>
    <n v="2"/>
    <n v="80"/>
    <n v="1"/>
    <n v="6"/>
    <n v="1"/>
    <n v="3"/>
    <n v="3"/>
    <n v="2"/>
    <n v="1"/>
    <n v="2"/>
    <s v="3-5 yrs"/>
  </r>
  <r>
    <n v="42"/>
    <x v="1"/>
    <s v="Travel_Frequently"/>
    <n v="570"/>
    <x v="1"/>
    <n v="8"/>
    <n v="3"/>
    <s v="Life Sciences"/>
    <n v="1"/>
    <n v="809"/>
    <n v="2"/>
    <s v="Male"/>
    <n v="66"/>
    <n v="3"/>
    <n v="5"/>
    <s v="Manager"/>
    <x v="0"/>
    <s v="Divorced"/>
    <x v="560"/>
    <n v="16225"/>
    <n v="1"/>
    <s v="Y"/>
    <s v="No"/>
    <n v="13"/>
    <n v="3"/>
    <n v="2"/>
    <n v="80"/>
    <n v="1"/>
    <n v="24"/>
    <n v="4"/>
    <n v="2"/>
    <n v="24"/>
    <n v="7"/>
    <n v="14"/>
    <n v="9"/>
    <s v="5+ yrs"/>
  </r>
  <r>
    <n v="23"/>
    <x v="0"/>
    <s v="Travel_Rarely"/>
    <n v="1243"/>
    <x v="1"/>
    <n v="6"/>
    <n v="3"/>
    <s v="Life Sciences"/>
    <n v="1"/>
    <n v="811"/>
    <n v="3"/>
    <s v="Male"/>
    <n v="63"/>
    <n v="4"/>
    <n v="1"/>
    <s v="Laboratory Technician"/>
    <x v="3"/>
    <s v="Married"/>
    <x v="561"/>
    <n v="3445"/>
    <n v="1"/>
    <s v="Y"/>
    <s v="Yes"/>
    <n v="21"/>
    <n v="4"/>
    <n v="3"/>
    <n v="80"/>
    <n v="2"/>
    <n v="1"/>
    <n v="2"/>
    <n v="3"/>
    <n v="0"/>
    <n v="0"/>
    <n v="0"/>
    <n v="0"/>
    <s v="0-2 yrs"/>
  </r>
  <r>
    <n v="24"/>
    <x v="1"/>
    <s v="Non-Travel"/>
    <n v="1092"/>
    <x v="1"/>
    <n v="9"/>
    <n v="3"/>
    <s v="Life Sciences"/>
    <n v="1"/>
    <n v="812"/>
    <n v="3"/>
    <s v="Male"/>
    <n v="60"/>
    <n v="2"/>
    <n v="1"/>
    <s v="Laboratory Technician"/>
    <x v="1"/>
    <s v="Divorced"/>
    <x v="562"/>
    <n v="26551"/>
    <n v="1"/>
    <s v="Y"/>
    <s v="No"/>
    <n v="11"/>
    <n v="3"/>
    <n v="3"/>
    <n v="80"/>
    <n v="3"/>
    <n v="1"/>
    <n v="4"/>
    <n v="3"/>
    <n v="1"/>
    <n v="0"/>
    <n v="0"/>
    <n v="0"/>
    <s v="0-2 yrs"/>
  </r>
  <r>
    <n v="52"/>
    <x v="1"/>
    <s v="Travel_Rarely"/>
    <n v="1325"/>
    <x v="1"/>
    <n v="11"/>
    <n v="4"/>
    <s v="Life Sciences"/>
    <n v="1"/>
    <n v="813"/>
    <n v="4"/>
    <s v="Female"/>
    <n v="82"/>
    <n v="3"/>
    <n v="2"/>
    <s v="Laboratory Technician"/>
    <x v="2"/>
    <s v="Married"/>
    <x v="563"/>
    <n v="21821"/>
    <n v="8"/>
    <s v="Y"/>
    <s v="No"/>
    <n v="20"/>
    <n v="4"/>
    <n v="2"/>
    <n v="80"/>
    <n v="1"/>
    <n v="9"/>
    <n v="3"/>
    <n v="3"/>
    <n v="5"/>
    <n v="2"/>
    <n v="1"/>
    <n v="4"/>
    <s v="3-5 yrs"/>
  </r>
  <r>
    <n v="50"/>
    <x v="1"/>
    <s v="Travel_Rarely"/>
    <n v="691"/>
    <x v="1"/>
    <n v="2"/>
    <n v="3"/>
    <s v="Medical"/>
    <n v="1"/>
    <n v="815"/>
    <n v="3"/>
    <s v="Male"/>
    <n v="64"/>
    <n v="3"/>
    <n v="4"/>
    <s v="Research Director"/>
    <x v="2"/>
    <s v="Married"/>
    <x v="564"/>
    <n v="6881"/>
    <n v="5"/>
    <s v="Y"/>
    <s v="No"/>
    <n v="16"/>
    <n v="3"/>
    <n v="4"/>
    <n v="80"/>
    <n v="0"/>
    <n v="30"/>
    <n v="3"/>
    <n v="3"/>
    <n v="4"/>
    <n v="3"/>
    <n v="0"/>
    <n v="3"/>
    <s v="3-5 yrs"/>
  </r>
  <r>
    <n v="29"/>
    <x v="0"/>
    <s v="Travel_Rarely"/>
    <n v="805"/>
    <x v="1"/>
    <n v="1"/>
    <n v="2"/>
    <s v="Life Sciences"/>
    <n v="1"/>
    <n v="816"/>
    <n v="2"/>
    <s v="Female"/>
    <n v="36"/>
    <n v="2"/>
    <n v="1"/>
    <s v="Laboratory Technician"/>
    <x v="3"/>
    <s v="Married"/>
    <x v="565"/>
    <n v="6689"/>
    <n v="1"/>
    <s v="Y"/>
    <s v="Yes"/>
    <n v="11"/>
    <n v="3"/>
    <n v="4"/>
    <n v="80"/>
    <n v="1"/>
    <n v="1"/>
    <n v="1"/>
    <n v="3"/>
    <n v="1"/>
    <n v="0"/>
    <n v="0"/>
    <n v="0"/>
    <s v="0-2 yrs"/>
  </r>
  <r>
    <n v="33"/>
    <x v="1"/>
    <s v="Travel_Rarely"/>
    <n v="213"/>
    <x v="1"/>
    <n v="7"/>
    <n v="3"/>
    <s v="Medical"/>
    <n v="1"/>
    <n v="817"/>
    <n v="3"/>
    <s v="Male"/>
    <n v="49"/>
    <n v="3"/>
    <n v="3"/>
    <s v="Research Director"/>
    <x v="2"/>
    <s v="Married"/>
    <x v="566"/>
    <n v="25995"/>
    <n v="0"/>
    <s v="Y"/>
    <s v="No"/>
    <n v="11"/>
    <n v="3"/>
    <n v="4"/>
    <n v="80"/>
    <n v="0"/>
    <n v="14"/>
    <n v="3"/>
    <n v="4"/>
    <n v="13"/>
    <n v="9"/>
    <n v="3"/>
    <n v="7"/>
    <s v="5+ yrs"/>
  </r>
  <r>
    <n v="33"/>
    <x v="0"/>
    <s v="Travel_Rarely"/>
    <n v="118"/>
    <x v="0"/>
    <n v="16"/>
    <n v="3"/>
    <s v="Marketing"/>
    <n v="1"/>
    <n v="819"/>
    <n v="1"/>
    <s v="Female"/>
    <n v="69"/>
    <n v="3"/>
    <n v="2"/>
    <s v="Sales Executive"/>
    <x v="3"/>
    <s v="Single"/>
    <x v="567"/>
    <n v="26507"/>
    <n v="5"/>
    <s v="Y"/>
    <s v="No"/>
    <n v="15"/>
    <n v="3"/>
    <n v="3"/>
    <n v="80"/>
    <n v="0"/>
    <n v="6"/>
    <n v="3"/>
    <n v="3"/>
    <n v="3"/>
    <n v="2"/>
    <n v="0"/>
    <n v="2"/>
    <s v="3-5 yrs"/>
  </r>
  <r>
    <n v="47"/>
    <x v="1"/>
    <s v="Travel_Rarely"/>
    <n v="202"/>
    <x v="1"/>
    <n v="2"/>
    <n v="2"/>
    <s v="Other"/>
    <n v="1"/>
    <n v="820"/>
    <n v="3"/>
    <s v="Female"/>
    <n v="33"/>
    <n v="3"/>
    <n v="4"/>
    <s v="Manager"/>
    <x v="0"/>
    <s v="Married"/>
    <x v="568"/>
    <n v="12982"/>
    <n v="1"/>
    <s v="Y"/>
    <s v="Yes"/>
    <n v="11"/>
    <n v="3"/>
    <n v="3"/>
    <n v="80"/>
    <n v="1"/>
    <n v="26"/>
    <n v="3"/>
    <n v="2"/>
    <n v="26"/>
    <n v="14"/>
    <n v="3"/>
    <n v="0"/>
    <s v="5+ yrs"/>
  </r>
  <r>
    <n v="36"/>
    <x v="1"/>
    <s v="Travel_Rarely"/>
    <n v="676"/>
    <x v="1"/>
    <n v="1"/>
    <n v="3"/>
    <s v="Other"/>
    <n v="1"/>
    <n v="823"/>
    <n v="3"/>
    <s v="Female"/>
    <n v="35"/>
    <n v="3"/>
    <n v="2"/>
    <s v="Manufacturing Director"/>
    <x v="1"/>
    <s v="Married"/>
    <x v="311"/>
    <n v="23361"/>
    <n v="0"/>
    <s v="Y"/>
    <s v="No"/>
    <n v="15"/>
    <n v="3"/>
    <n v="1"/>
    <n v="80"/>
    <n v="1"/>
    <n v="10"/>
    <n v="2"/>
    <n v="3"/>
    <n v="9"/>
    <n v="7"/>
    <n v="0"/>
    <n v="5"/>
    <s v="5+ yrs"/>
  </r>
  <r>
    <n v="29"/>
    <x v="1"/>
    <s v="Travel_Rarely"/>
    <n v="1252"/>
    <x v="1"/>
    <n v="23"/>
    <n v="2"/>
    <s v="Life Sciences"/>
    <n v="1"/>
    <n v="824"/>
    <n v="3"/>
    <s v="Male"/>
    <n v="81"/>
    <n v="4"/>
    <n v="1"/>
    <s v="Research Scientist"/>
    <x v="2"/>
    <s v="Married"/>
    <x v="569"/>
    <n v="23779"/>
    <n v="1"/>
    <s v="Y"/>
    <s v="No"/>
    <n v="24"/>
    <n v="4"/>
    <n v="3"/>
    <n v="80"/>
    <n v="1"/>
    <n v="10"/>
    <n v="3"/>
    <n v="3"/>
    <n v="10"/>
    <n v="7"/>
    <n v="0"/>
    <n v="7"/>
    <s v="5+ yrs"/>
  </r>
  <r>
    <n v="58"/>
    <x v="0"/>
    <s v="Travel_Rarely"/>
    <n v="286"/>
    <x v="1"/>
    <n v="2"/>
    <n v="4"/>
    <s v="Life Sciences"/>
    <n v="1"/>
    <n v="825"/>
    <n v="4"/>
    <s v="Male"/>
    <n v="31"/>
    <n v="3"/>
    <n v="5"/>
    <s v="Research Director"/>
    <x v="1"/>
    <s v="Single"/>
    <x v="570"/>
    <n v="25761"/>
    <n v="7"/>
    <s v="Y"/>
    <s v="Yes"/>
    <n v="12"/>
    <n v="3"/>
    <n v="4"/>
    <n v="80"/>
    <n v="0"/>
    <n v="40"/>
    <n v="2"/>
    <n v="3"/>
    <n v="31"/>
    <n v="15"/>
    <n v="13"/>
    <n v="8"/>
    <s v="5+ yrs"/>
  </r>
  <r>
    <n v="35"/>
    <x v="1"/>
    <s v="Travel_Rarely"/>
    <n v="1258"/>
    <x v="1"/>
    <n v="1"/>
    <n v="4"/>
    <s v="Life Sciences"/>
    <n v="1"/>
    <n v="826"/>
    <n v="4"/>
    <s v="Female"/>
    <n v="40"/>
    <n v="4"/>
    <n v="1"/>
    <s v="Research Scientist"/>
    <x v="2"/>
    <s v="Single"/>
    <x v="571"/>
    <n v="13301"/>
    <n v="3"/>
    <s v="Y"/>
    <s v="No"/>
    <n v="13"/>
    <n v="3"/>
    <n v="3"/>
    <n v="80"/>
    <n v="0"/>
    <n v="7"/>
    <n v="0"/>
    <n v="3"/>
    <n v="2"/>
    <n v="2"/>
    <n v="2"/>
    <n v="2"/>
    <s v="0-2 yrs"/>
  </r>
  <r>
    <n v="42"/>
    <x v="1"/>
    <s v="Travel_Rarely"/>
    <n v="932"/>
    <x v="1"/>
    <n v="1"/>
    <n v="2"/>
    <s v="Life Sciences"/>
    <n v="1"/>
    <n v="827"/>
    <n v="4"/>
    <s v="Female"/>
    <n v="43"/>
    <n v="2"/>
    <n v="2"/>
    <s v="Manufacturing Director"/>
    <x v="0"/>
    <s v="Married"/>
    <x v="572"/>
    <n v="4051"/>
    <n v="9"/>
    <s v="Y"/>
    <s v="Yes"/>
    <n v="13"/>
    <n v="3"/>
    <n v="4"/>
    <n v="80"/>
    <n v="1"/>
    <n v="8"/>
    <n v="4"/>
    <n v="3"/>
    <n v="4"/>
    <n v="3"/>
    <n v="0"/>
    <n v="2"/>
    <s v="3-5 yrs"/>
  </r>
  <r>
    <n v="28"/>
    <x v="0"/>
    <s v="Travel_Rarely"/>
    <n v="890"/>
    <x v="1"/>
    <n v="2"/>
    <n v="4"/>
    <s v="Medical"/>
    <n v="1"/>
    <n v="828"/>
    <n v="3"/>
    <s v="Male"/>
    <n v="46"/>
    <n v="3"/>
    <n v="1"/>
    <s v="Research Scientist"/>
    <x v="2"/>
    <s v="Single"/>
    <x v="573"/>
    <n v="16374"/>
    <n v="6"/>
    <s v="Y"/>
    <s v="No"/>
    <n v="17"/>
    <n v="3"/>
    <n v="4"/>
    <n v="80"/>
    <n v="0"/>
    <n v="5"/>
    <n v="3"/>
    <n v="2"/>
    <n v="2"/>
    <n v="2"/>
    <n v="2"/>
    <n v="1"/>
    <s v="0-2 yrs"/>
  </r>
  <r>
    <n v="36"/>
    <x v="1"/>
    <s v="Travel_Rarely"/>
    <n v="1041"/>
    <x v="2"/>
    <n v="13"/>
    <n v="3"/>
    <s v="Human Resources"/>
    <n v="1"/>
    <n v="829"/>
    <n v="3"/>
    <s v="Male"/>
    <n v="36"/>
    <n v="3"/>
    <n v="1"/>
    <s v="Human Resources"/>
    <x v="1"/>
    <s v="Married"/>
    <x v="574"/>
    <n v="25527"/>
    <n v="4"/>
    <s v="Y"/>
    <s v="No"/>
    <n v="13"/>
    <n v="3"/>
    <n v="2"/>
    <n v="80"/>
    <n v="1"/>
    <n v="8"/>
    <n v="2"/>
    <n v="3"/>
    <n v="5"/>
    <n v="2"/>
    <n v="0"/>
    <n v="4"/>
    <s v="3-5 yrs"/>
  </r>
  <r>
    <n v="32"/>
    <x v="1"/>
    <s v="Travel_Rarely"/>
    <n v="859"/>
    <x v="1"/>
    <n v="4"/>
    <n v="3"/>
    <s v="Life Sciences"/>
    <n v="1"/>
    <n v="830"/>
    <n v="3"/>
    <s v="Female"/>
    <n v="98"/>
    <n v="2"/>
    <n v="2"/>
    <s v="Manufacturing Director"/>
    <x v="2"/>
    <s v="Married"/>
    <x v="57"/>
    <n v="19124"/>
    <n v="1"/>
    <s v="Y"/>
    <s v="No"/>
    <n v="12"/>
    <n v="3"/>
    <n v="3"/>
    <n v="80"/>
    <n v="1"/>
    <n v="14"/>
    <n v="3"/>
    <n v="3"/>
    <n v="14"/>
    <n v="13"/>
    <n v="6"/>
    <n v="8"/>
    <s v="5+ yrs"/>
  </r>
  <r>
    <n v="40"/>
    <x v="1"/>
    <s v="Travel_Frequently"/>
    <n v="720"/>
    <x v="1"/>
    <n v="16"/>
    <n v="4"/>
    <s v="Medical"/>
    <n v="1"/>
    <n v="832"/>
    <n v="1"/>
    <s v="Male"/>
    <n v="51"/>
    <n v="2"/>
    <n v="2"/>
    <s v="Laboratory Technician"/>
    <x v="2"/>
    <s v="Single"/>
    <x v="575"/>
    <n v="11983"/>
    <n v="6"/>
    <s v="Y"/>
    <s v="No"/>
    <n v="14"/>
    <n v="3"/>
    <n v="4"/>
    <n v="80"/>
    <n v="0"/>
    <n v="10"/>
    <n v="6"/>
    <n v="3"/>
    <n v="1"/>
    <n v="0"/>
    <n v="0"/>
    <n v="0"/>
    <s v="0-2 yrs"/>
  </r>
  <r>
    <n v="30"/>
    <x v="1"/>
    <s v="Travel_Rarely"/>
    <n v="946"/>
    <x v="1"/>
    <n v="2"/>
    <n v="3"/>
    <s v="Medical"/>
    <n v="1"/>
    <n v="833"/>
    <n v="3"/>
    <s v="Female"/>
    <n v="52"/>
    <n v="2"/>
    <n v="2"/>
    <s v="Manufacturing Director"/>
    <x v="0"/>
    <s v="Single"/>
    <x v="576"/>
    <n v="20234"/>
    <n v="5"/>
    <s v="Y"/>
    <s v="Yes"/>
    <n v="24"/>
    <n v="4"/>
    <n v="2"/>
    <n v="80"/>
    <n v="0"/>
    <n v="12"/>
    <n v="4"/>
    <n v="2"/>
    <n v="0"/>
    <n v="0"/>
    <n v="0"/>
    <n v="0"/>
    <s v="0-2 yrs"/>
  </r>
  <r>
    <n v="45"/>
    <x v="1"/>
    <s v="Travel_Rarely"/>
    <n v="252"/>
    <x v="1"/>
    <n v="2"/>
    <n v="3"/>
    <s v="Life Sciences"/>
    <n v="1"/>
    <n v="834"/>
    <n v="2"/>
    <s v="Female"/>
    <n v="95"/>
    <n v="2"/>
    <n v="1"/>
    <s v="Research Scientist"/>
    <x v="2"/>
    <s v="Single"/>
    <x v="577"/>
    <n v="6153"/>
    <n v="1"/>
    <s v="Y"/>
    <s v="No"/>
    <n v="14"/>
    <n v="3"/>
    <n v="4"/>
    <n v="80"/>
    <n v="0"/>
    <n v="1"/>
    <n v="3"/>
    <n v="3"/>
    <n v="1"/>
    <n v="0"/>
    <n v="0"/>
    <n v="0"/>
    <s v="0-2 yrs"/>
  </r>
  <r>
    <n v="42"/>
    <x v="1"/>
    <s v="Travel_Rarely"/>
    <n v="933"/>
    <x v="1"/>
    <n v="29"/>
    <n v="3"/>
    <s v="Life Sciences"/>
    <n v="1"/>
    <n v="836"/>
    <n v="2"/>
    <s v="Male"/>
    <n v="98"/>
    <n v="3"/>
    <n v="2"/>
    <s v="Manufacturing Director"/>
    <x v="1"/>
    <s v="Married"/>
    <x v="578"/>
    <n v="11806"/>
    <n v="1"/>
    <s v="Y"/>
    <s v="No"/>
    <n v="13"/>
    <n v="3"/>
    <n v="4"/>
    <n v="80"/>
    <n v="1"/>
    <n v="10"/>
    <n v="3"/>
    <n v="2"/>
    <n v="9"/>
    <n v="8"/>
    <n v="7"/>
    <n v="8"/>
    <s v="5+ yrs"/>
  </r>
  <r>
    <n v="38"/>
    <x v="1"/>
    <s v="Travel_Frequently"/>
    <n v="471"/>
    <x v="1"/>
    <n v="12"/>
    <n v="3"/>
    <s v="Life Sciences"/>
    <n v="1"/>
    <n v="837"/>
    <n v="1"/>
    <s v="Male"/>
    <n v="45"/>
    <n v="2"/>
    <n v="2"/>
    <s v="Healthcare Representative"/>
    <x v="3"/>
    <s v="Divorced"/>
    <x v="579"/>
    <n v="4284"/>
    <n v="2"/>
    <s v="Y"/>
    <s v="No"/>
    <n v="15"/>
    <n v="3"/>
    <n v="3"/>
    <n v="80"/>
    <n v="1"/>
    <n v="13"/>
    <n v="3"/>
    <n v="2"/>
    <n v="4"/>
    <n v="3"/>
    <n v="1"/>
    <n v="2"/>
    <s v="3-5 yrs"/>
  </r>
  <r>
    <n v="34"/>
    <x v="1"/>
    <s v="Travel_Frequently"/>
    <n v="702"/>
    <x v="1"/>
    <n v="16"/>
    <n v="4"/>
    <s v="Life Sciences"/>
    <n v="1"/>
    <n v="838"/>
    <n v="3"/>
    <s v="Female"/>
    <n v="100"/>
    <n v="2"/>
    <n v="1"/>
    <s v="Research Scientist"/>
    <x v="0"/>
    <s v="Single"/>
    <x v="580"/>
    <n v="8306"/>
    <n v="1"/>
    <s v="Y"/>
    <s v="No"/>
    <n v="16"/>
    <n v="3"/>
    <n v="3"/>
    <n v="80"/>
    <n v="0"/>
    <n v="6"/>
    <n v="3"/>
    <n v="3"/>
    <n v="5"/>
    <n v="2"/>
    <n v="1"/>
    <n v="3"/>
    <s v="3-5 yrs"/>
  </r>
  <r>
    <n v="49"/>
    <x v="0"/>
    <s v="Travel_Rarely"/>
    <n v="1184"/>
    <x v="0"/>
    <n v="11"/>
    <n v="3"/>
    <s v="Marketing"/>
    <n v="1"/>
    <n v="840"/>
    <n v="3"/>
    <s v="Female"/>
    <n v="43"/>
    <n v="3"/>
    <n v="3"/>
    <s v="Sales Executive"/>
    <x v="0"/>
    <s v="Married"/>
    <x v="581"/>
    <n v="5860"/>
    <n v="1"/>
    <s v="Y"/>
    <s v="No"/>
    <n v="18"/>
    <n v="3"/>
    <n v="1"/>
    <n v="80"/>
    <n v="2"/>
    <n v="9"/>
    <n v="3"/>
    <n v="4"/>
    <n v="9"/>
    <n v="8"/>
    <n v="7"/>
    <n v="7"/>
    <s v="5+ yrs"/>
  </r>
  <r>
    <n v="55"/>
    <x v="0"/>
    <s v="Travel_Rarely"/>
    <n v="436"/>
    <x v="0"/>
    <n v="2"/>
    <n v="1"/>
    <s v="Medical"/>
    <n v="1"/>
    <n v="842"/>
    <n v="3"/>
    <s v="Male"/>
    <n v="37"/>
    <n v="3"/>
    <n v="2"/>
    <s v="Sales Executive"/>
    <x v="0"/>
    <s v="Single"/>
    <x v="582"/>
    <n v="21519"/>
    <n v="4"/>
    <s v="Y"/>
    <s v="No"/>
    <n v="16"/>
    <n v="3"/>
    <n v="3"/>
    <n v="80"/>
    <n v="0"/>
    <n v="12"/>
    <n v="3"/>
    <n v="2"/>
    <n v="9"/>
    <n v="7"/>
    <n v="7"/>
    <n v="3"/>
    <s v="5+ yrs"/>
  </r>
  <r>
    <n v="43"/>
    <x v="1"/>
    <s v="Travel_Rarely"/>
    <n v="589"/>
    <x v="1"/>
    <n v="14"/>
    <n v="2"/>
    <s v="Life Sciences"/>
    <n v="1"/>
    <n v="843"/>
    <n v="2"/>
    <s v="Male"/>
    <n v="94"/>
    <n v="3"/>
    <n v="4"/>
    <s v="Research Director"/>
    <x v="3"/>
    <s v="Married"/>
    <x v="583"/>
    <n v="5200"/>
    <n v="6"/>
    <s v="Y"/>
    <s v="No"/>
    <n v="24"/>
    <n v="4"/>
    <n v="3"/>
    <n v="80"/>
    <n v="1"/>
    <n v="22"/>
    <n v="3"/>
    <n v="3"/>
    <n v="4"/>
    <n v="1"/>
    <n v="1"/>
    <n v="0"/>
    <s v="3-5 yrs"/>
  </r>
  <r>
    <n v="27"/>
    <x v="1"/>
    <s v="Travel_Rarely"/>
    <n v="269"/>
    <x v="1"/>
    <n v="5"/>
    <n v="1"/>
    <s v="Technical Degree"/>
    <n v="1"/>
    <n v="844"/>
    <n v="3"/>
    <s v="Male"/>
    <n v="42"/>
    <n v="2"/>
    <n v="3"/>
    <s v="Research Director"/>
    <x v="0"/>
    <s v="Divorced"/>
    <x v="584"/>
    <n v="8842"/>
    <n v="1"/>
    <s v="Y"/>
    <s v="Yes"/>
    <n v="16"/>
    <n v="3"/>
    <n v="2"/>
    <n v="80"/>
    <n v="1"/>
    <n v="9"/>
    <n v="3"/>
    <n v="3"/>
    <n v="9"/>
    <n v="8"/>
    <n v="0"/>
    <n v="8"/>
    <s v="5+ yrs"/>
  </r>
  <r>
    <n v="35"/>
    <x v="1"/>
    <s v="Travel_Rarely"/>
    <n v="950"/>
    <x v="1"/>
    <n v="7"/>
    <n v="3"/>
    <s v="Other"/>
    <n v="1"/>
    <n v="845"/>
    <n v="3"/>
    <s v="Male"/>
    <n v="59"/>
    <n v="3"/>
    <n v="3"/>
    <s v="Manufacturing Director"/>
    <x v="2"/>
    <s v="Single"/>
    <x v="585"/>
    <n v="18869"/>
    <n v="3"/>
    <s v="Y"/>
    <s v="No"/>
    <n v="21"/>
    <n v="4"/>
    <n v="2"/>
    <n v="80"/>
    <n v="0"/>
    <n v="17"/>
    <n v="3"/>
    <n v="4"/>
    <n v="8"/>
    <n v="5"/>
    <n v="1"/>
    <n v="6"/>
    <s v="5+ yrs"/>
  </r>
  <r>
    <n v="28"/>
    <x v="1"/>
    <s v="Travel_Rarely"/>
    <n v="760"/>
    <x v="0"/>
    <n v="2"/>
    <n v="4"/>
    <s v="Marketing"/>
    <n v="1"/>
    <n v="846"/>
    <n v="2"/>
    <s v="Female"/>
    <n v="81"/>
    <n v="3"/>
    <n v="2"/>
    <s v="Sales Executive"/>
    <x v="1"/>
    <s v="Married"/>
    <x v="586"/>
    <n v="3698"/>
    <n v="1"/>
    <s v="Y"/>
    <s v="Yes"/>
    <n v="20"/>
    <n v="4"/>
    <n v="1"/>
    <n v="80"/>
    <n v="0"/>
    <n v="8"/>
    <n v="2"/>
    <n v="3"/>
    <n v="8"/>
    <n v="7"/>
    <n v="7"/>
    <n v="5"/>
    <s v="5+ yrs"/>
  </r>
  <r>
    <n v="34"/>
    <x v="1"/>
    <s v="Travel_Rarely"/>
    <n v="829"/>
    <x v="2"/>
    <n v="3"/>
    <n v="2"/>
    <s v="Human Resources"/>
    <n v="1"/>
    <n v="847"/>
    <n v="3"/>
    <s v="Male"/>
    <n v="88"/>
    <n v="3"/>
    <n v="1"/>
    <s v="Human Resources"/>
    <x v="0"/>
    <s v="Married"/>
    <x v="587"/>
    <n v="2243"/>
    <n v="0"/>
    <s v="Y"/>
    <s v="No"/>
    <n v="19"/>
    <n v="3"/>
    <n v="3"/>
    <n v="80"/>
    <n v="1"/>
    <n v="4"/>
    <n v="1"/>
    <n v="1"/>
    <n v="3"/>
    <n v="2"/>
    <n v="0"/>
    <n v="2"/>
    <s v="3-5 yrs"/>
  </r>
  <r>
    <n v="26"/>
    <x v="0"/>
    <s v="Travel_Frequently"/>
    <n v="887"/>
    <x v="1"/>
    <n v="5"/>
    <n v="2"/>
    <s v="Medical"/>
    <n v="1"/>
    <n v="848"/>
    <n v="3"/>
    <s v="Female"/>
    <n v="88"/>
    <n v="2"/>
    <n v="1"/>
    <s v="Research Scientist"/>
    <x v="2"/>
    <s v="Married"/>
    <x v="588"/>
    <n v="20898"/>
    <n v="1"/>
    <s v="Y"/>
    <s v="Yes"/>
    <n v="14"/>
    <n v="3"/>
    <n v="1"/>
    <n v="80"/>
    <n v="1"/>
    <n v="8"/>
    <n v="2"/>
    <n v="3"/>
    <n v="8"/>
    <n v="7"/>
    <n v="1"/>
    <n v="7"/>
    <s v="5+ yrs"/>
  </r>
  <r>
    <n v="27"/>
    <x v="1"/>
    <s v="Non-Travel"/>
    <n v="443"/>
    <x v="1"/>
    <n v="3"/>
    <n v="3"/>
    <s v="Medical"/>
    <n v="1"/>
    <n v="850"/>
    <n v="4"/>
    <s v="Male"/>
    <n v="50"/>
    <n v="3"/>
    <n v="1"/>
    <s v="Research Scientist"/>
    <x v="0"/>
    <s v="Married"/>
    <x v="589"/>
    <n v="16571"/>
    <n v="1"/>
    <s v="Y"/>
    <s v="No"/>
    <n v="11"/>
    <n v="3"/>
    <n v="3"/>
    <n v="80"/>
    <n v="3"/>
    <n v="0"/>
    <n v="6"/>
    <n v="2"/>
    <n v="0"/>
    <n v="0"/>
    <n v="0"/>
    <n v="0"/>
    <s v="0-2 yrs"/>
  </r>
  <r>
    <n v="51"/>
    <x v="1"/>
    <s v="Travel_Rarely"/>
    <n v="1318"/>
    <x v="0"/>
    <n v="26"/>
    <n v="4"/>
    <s v="Marketing"/>
    <n v="1"/>
    <n v="851"/>
    <n v="1"/>
    <s v="Female"/>
    <n v="66"/>
    <n v="3"/>
    <n v="4"/>
    <s v="Manager"/>
    <x v="2"/>
    <s v="Married"/>
    <x v="590"/>
    <n v="5594"/>
    <n v="2"/>
    <s v="Y"/>
    <s v="No"/>
    <n v="14"/>
    <n v="3"/>
    <n v="3"/>
    <n v="80"/>
    <n v="1"/>
    <n v="29"/>
    <n v="2"/>
    <n v="2"/>
    <n v="20"/>
    <n v="6"/>
    <n v="4"/>
    <n v="17"/>
    <s v="5+ yrs"/>
  </r>
  <r>
    <n v="44"/>
    <x v="1"/>
    <s v="Travel_Rarely"/>
    <n v="625"/>
    <x v="1"/>
    <n v="4"/>
    <n v="3"/>
    <s v="Medical"/>
    <n v="1"/>
    <n v="852"/>
    <n v="4"/>
    <s v="Male"/>
    <n v="50"/>
    <n v="3"/>
    <n v="2"/>
    <s v="Healthcare Representative"/>
    <x v="1"/>
    <s v="Single"/>
    <x v="591"/>
    <n v="5197"/>
    <n v="9"/>
    <s v="Y"/>
    <s v="No"/>
    <n v="12"/>
    <n v="3"/>
    <n v="4"/>
    <n v="80"/>
    <n v="0"/>
    <n v="10"/>
    <n v="2"/>
    <n v="2"/>
    <n v="5"/>
    <n v="2"/>
    <n v="2"/>
    <n v="3"/>
    <s v="3-5 yrs"/>
  </r>
  <r>
    <n v="25"/>
    <x v="1"/>
    <s v="Travel_Rarely"/>
    <n v="180"/>
    <x v="1"/>
    <n v="2"/>
    <n v="1"/>
    <s v="Medical"/>
    <n v="1"/>
    <n v="854"/>
    <n v="1"/>
    <s v="Male"/>
    <n v="65"/>
    <n v="4"/>
    <n v="1"/>
    <s v="Research Scientist"/>
    <x v="3"/>
    <s v="Single"/>
    <x v="592"/>
    <n v="21632"/>
    <n v="7"/>
    <s v="Y"/>
    <s v="No"/>
    <n v="13"/>
    <n v="3"/>
    <n v="3"/>
    <n v="80"/>
    <n v="0"/>
    <n v="6"/>
    <n v="3"/>
    <n v="2"/>
    <n v="4"/>
    <n v="3"/>
    <n v="0"/>
    <n v="1"/>
    <s v="3-5 yrs"/>
  </r>
  <r>
    <n v="33"/>
    <x v="1"/>
    <s v="Travel_Rarely"/>
    <n v="586"/>
    <x v="0"/>
    <n v="1"/>
    <n v="3"/>
    <s v="Medical"/>
    <n v="1"/>
    <n v="855"/>
    <n v="1"/>
    <s v="Male"/>
    <n v="48"/>
    <n v="4"/>
    <n v="2"/>
    <s v="Sales Executive"/>
    <x v="3"/>
    <s v="Divorced"/>
    <x v="593"/>
    <n v="21816"/>
    <n v="1"/>
    <s v="Y"/>
    <s v="No"/>
    <n v="22"/>
    <n v="4"/>
    <n v="1"/>
    <n v="80"/>
    <n v="1"/>
    <n v="9"/>
    <n v="5"/>
    <n v="3"/>
    <n v="9"/>
    <n v="8"/>
    <n v="0"/>
    <n v="8"/>
    <s v="5+ yrs"/>
  </r>
  <r>
    <n v="35"/>
    <x v="1"/>
    <s v="Travel_Rarely"/>
    <n v="1343"/>
    <x v="1"/>
    <n v="27"/>
    <n v="1"/>
    <s v="Medical"/>
    <n v="1"/>
    <n v="856"/>
    <n v="3"/>
    <s v="Female"/>
    <n v="53"/>
    <n v="2"/>
    <n v="1"/>
    <s v="Research Scientist"/>
    <x v="3"/>
    <s v="Single"/>
    <x v="594"/>
    <n v="17852"/>
    <n v="1"/>
    <s v="Y"/>
    <s v="No"/>
    <n v="11"/>
    <n v="3"/>
    <n v="4"/>
    <n v="80"/>
    <n v="0"/>
    <n v="6"/>
    <n v="3"/>
    <n v="2"/>
    <n v="6"/>
    <n v="5"/>
    <n v="1"/>
    <n v="1"/>
    <s v="5+ yrs"/>
  </r>
  <r>
    <n v="36"/>
    <x v="1"/>
    <s v="Travel_Rarely"/>
    <n v="928"/>
    <x v="0"/>
    <n v="1"/>
    <n v="2"/>
    <s v="Life Sciences"/>
    <n v="1"/>
    <n v="857"/>
    <n v="2"/>
    <s v="Male"/>
    <n v="56"/>
    <n v="3"/>
    <n v="2"/>
    <s v="Sales Executive"/>
    <x v="0"/>
    <s v="Married"/>
    <x v="595"/>
    <n v="2823"/>
    <n v="1"/>
    <s v="Y"/>
    <s v="Yes"/>
    <n v="14"/>
    <n v="3"/>
    <n v="4"/>
    <n v="80"/>
    <n v="1"/>
    <n v="18"/>
    <n v="1"/>
    <n v="2"/>
    <n v="18"/>
    <n v="14"/>
    <n v="4"/>
    <n v="11"/>
    <s v="5+ yrs"/>
  </r>
  <r>
    <n v="32"/>
    <x v="1"/>
    <s v="Travel_Rarely"/>
    <n v="117"/>
    <x v="0"/>
    <n v="13"/>
    <n v="4"/>
    <s v="Life Sciences"/>
    <n v="1"/>
    <n v="859"/>
    <n v="2"/>
    <s v="Male"/>
    <n v="73"/>
    <n v="3"/>
    <n v="2"/>
    <s v="Sales Executive"/>
    <x v="0"/>
    <s v="Divorced"/>
    <x v="596"/>
    <n v="9250"/>
    <n v="2"/>
    <s v="Y"/>
    <s v="No"/>
    <n v="11"/>
    <n v="3"/>
    <n v="3"/>
    <n v="80"/>
    <n v="1"/>
    <n v="8"/>
    <n v="3"/>
    <n v="2"/>
    <n v="5"/>
    <n v="2"/>
    <n v="0"/>
    <n v="3"/>
    <s v="3-5 yrs"/>
  </r>
  <r>
    <n v="30"/>
    <x v="1"/>
    <s v="Travel_Frequently"/>
    <n v="1012"/>
    <x v="1"/>
    <n v="5"/>
    <n v="4"/>
    <s v="Life Sciences"/>
    <n v="1"/>
    <n v="861"/>
    <n v="2"/>
    <s v="Male"/>
    <n v="75"/>
    <n v="2"/>
    <n v="1"/>
    <s v="Research Scientist"/>
    <x v="0"/>
    <s v="Divorced"/>
    <x v="597"/>
    <n v="2373"/>
    <n v="9"/>
    <s v="Y"/>
    <s v="No"/>
    <n v="12"/>
    <n v="3"/>
    <n v="2"/>
    <n v="80"/>
    <n v="1"/>
    <n v="10"/>
    <n v="3"/>
    <n v="2"/>
    <n v="5"/>
    <n v="4"/>
    <n v="0"/>
    <n v="3"/>
    <s v="3-5 yrs"/>
  </r>
  <r>
    <n v="53"/>
    <x v="1"/>
    <s v="Travel_Rarely"/>
    <n v="661"/>
    <x v="0"/>
    <n v="7"/>
    <n v="2"/>
    <s v="Marketing"/>
    <n v="1"/>
    <n v="862"/>
    <n v="1"/>
    <s v="Female"/>
    <n v="78"/>
    <n v="2"/>
    <n v="3"/>
    <s v="Sales Executive"/>
    <x v="0"/>
    <s v="Married"/>
    <x v="598"/>
    <n v="20715"/>
    <n v="7"/>
    <s v="Y"/>
    <s v="Yes"/>
    <n v="18"/>
    <n v="3"/>
    <n v="4"/>
    <n v="80"/>
    <n v="1"/>
    <n v="35"/>
    <n v="3"/>
    <n v="3"/>
    <n v="5"/>
    <n v="2"/>
    <n v="0"/>
    <n v="4"/>
    <s v="3-5 yrs"/>
  </r>
  <r>
    <n v="45"/>
    <x v="1"/>
    <s v="Travel_Rarely"/>
    <n v="930"/>
    <x v="0"/>
    <n v="9"/>
    <n v="3"/>
    <s v="Marketing"/>
    <n v="1"/>
    <n v="864"/>
    <n v="4"/>
    <s v="Male"/>
    <n v="74"/>
    <n v="3"/>
    <n v="3"/>
    <s v="Sales Executive"/>
    <x v="3"/>
    <s v="Divorced"/>
    <x v="599"/>
    <n v="19239"/>
    <n v="4"/>
    <s v="Y"/>
    <s v="Yes"/>
    <n v="12"/>
    <n v="3"/>
    <n v="3"/>
    <n v="80"/>
    <n v="1"/>
    <n v="18"/>
    <n v="2"/>
    <n v="3"/>
    <n v="5"/>
    <n v="4"/>
    <n v="0"/>
    <n v="2"/>
    <s v="3-5 yrs"/>
  </r>
  <r>
    <n v="32"/>
    <x v="1"/>
    <s v="Travel_Rarely"/>
    <n v="638"/>
    <x v="1"/>
    <n v="8"/>
    <n v="2"/>
    <s v="Medical"/>
    <n v="1"/>
    <n v="865"/>
    <n v="3"/>
    <s v="Female"/>
    <n v="91"/>
    <n v="4"/>
    <n v="2"/>
    <s v="Research Scientist"/>
    <x v="2"/>
    <s v="Married"/>
    <x v="600"/>
    <n v="22162"/>
    <n v="5"/>
    <s v="Y"/>
    <s v="No"/>
    <n v="12"/>
    <n v="3"/>
    <n v="3"/>
    <n v="80"/>
    <n v="1"/>
    <n v="9"/>
    <n v="3"/>
    <n v="2"/>
    <n v="5"/>
    <n v="3"/>
    <n v="1"/>
    <n v="3"/>
    <s v="3-5 yrs"/>
  </r>
  <r>
    <n v="52"/>
    <x v="1"/>
    <s v="Travel_Frequently"/>
    <n v="890"/>
    <x v="1"/>
    <n v="25"/>
    <n v="4"/>
    <s v="Medical"/>
    <n v="1"/>
    <n v="867"/>
    <n v="3"/>
    <s v="Female"/>
    <n v="81"/>
    <n v="2"/>
    <n v="4"/>
    <s v="Manufacturing Director"/>
    <x v="0"/>
    <s v="Married"/>
    <x v="601"/>
    <n v="19028"/>
    <n v="3"/>
    <s v="Y"/>
    <s v="No"/>
    <n v="22"/>
    <n v="4"/>
    <n v="3"/>
    <n v="80"/>
    <n v="0"/>
    <n v="31"/>
    <n v="3"/>
    <n v="3"/>
    <n v="9"/>
    <n v="8"/>
    <n v="0"/>
    <n v="0"/>
    <s v="5+ yrs"/>
  </r>
  <r>
    <n v="37"/>
    <x v="1"/>
    <s v="Travel_Rarely"/>
    <n v="342"/>
    <x v="0"/>
    <n v="16"/>
    <n v="4"/>
    <s v="Marketing"/>
    <n v="1"/>
    <n v="868"/>
    <n v="4"/>
    <s v="Male"/>
    <n v="66"/>
    <n v="2"/>
    <n v="2"/>
    <s v="Sales Executive"/>
    <x v="2"/>
    <s v="Divorced"/>
    <x v="602"/>
    <n v="24558"/>
    <n v="4"/>
    <s v="Y"/>
    <s v="No"/>
    <n v="19"/>
    <n v="3"/>
    <n v="4"/>
    <n v="80"/>
    <n v="2"/>
    <n v="9"/>
    <n v="2"/>
    <n v="3"/>
    <n v="1"/>
    <n v="0"/>
    <n v="0"/>
    <n v="0"/>
    <s v="0-2 yrs"/>
  </r>
  <r>
    <n v="28"/>
    <x v="1"/>
    <s v="Travel_Rarely"/>
    <n v="1169"/>
    <x v="2"/>
    <n v="8"/>
    <n v="2"/>
    <s v="Medical"/>
    <n v="1"/>
    <n v="869"/>
    <n v="2"/>
    <s v="Male"/>
    <n v="63"/>
    <n v="2"/>
    <n v="1"/>
    <s v="Human Resources"/>
    <x v="0"/>
    <s v="Divorced"/>
    <x v="365"/>
    <n v="23965"/>
    <n v="1"/>
    <s v="Y"/>
    <s v="No"/>
    <n v="13"/>
    <n v="3"/>
    <n v="4"/>
    <n v="80"/>
    <n v="1"/>
    <n v="6"/>
    <n v="6"/>
    <n v="3"/>
    <n v="5"/>
    <n v="1"/>
    <n v="0"/>
    <n v="4"/>
    <s v="3-5 yrs"/>
  </r>
  <r>
    <n v="22"/>
    <x v="1"/>
    <s v="Travel_Rarely"/>
    <n v="1230"/>
    <x v="1"/>
    <n v="1"/>
    <n v="2"/>
    <s v="Life Sciences"/>
    <n v="1"/>
    <n v="872"/>
    <n v="4"/>
    <s v="Male"/>
    <n v="33"/>
    <n v="2"/>
    <n v="2"/>
    <s v="Manufacturing Director"/>
    <x v="0"/>
    <s v="Married"/>
    <x v="603"/>
    <n v="19146"/>
    <n v="6"/>
    <s v="Y"/>
    <s v="No"/>
    <n v="22"/>
    <n v="4"/>
    <n v="1"/>
    <n v="80"/>
    <n v="2"/>
    <n v="4"/>
    <n v="2"/>
    <n v="1"/>
    <n v="2"/>
    <n v="2"/>
    <n v="2"/>
    <n v="2"/>
    <s v="0-2 yrs"/>
  </r>
  <r>
    <n v="44"/>
    <x v="1"/>
    <s v="Travel_Rarely"/>
    <n v="986"/>
    <x v="1"/>
    <n v="8"/>
    <n v="4"/>
    <s v="Life Sciences"/>
    <n v="1"/>
    <n v="874"/>
    <n v="1"/>
    <s v="Male"/>
    <n v="62"/>
    <n v="4"/>
    <n v="1"/>
    <s v="Laboratory Technician"/>
    <x v="0"/>
    <s v="Married"/>
    <x v="604"/>
    <n v="5044"/>
    <n v="2"/>
    <s v="Y"/>
    <s v="Yes"/>
    <n v="24"/>
    <n v="4"/>
    <n v="3"/>
    <n v="80"/>
    <n v="1"/>
    <n v="10"/>
    <n v="2"/>
    <n v="2"/>
    <n v="3"/>
    <n v="2"/>
    <n v="0"/>
    <n v="2"/>
    <s v="3-5 yrs"/>
  </r>
  <r>
    <n v="42"/>
    <x v="1"/>
    <s v="Travel_Frequently"/>
    <n v="1271"/>
    <x v="1"/>
    <n v="2"/>
    <n v="1"/>
    <s v="Medical"/>
    <n v="1"/>
    <n v="875"/>
    <n v="2"/>
    <s v="Male"/>
    <n v="35"/>
    <n v="3"/>
    <n v="1"/>
    <s v="Research Scientist"/>
    <x v="0"/>
    <s v="Single"/>
    <x v="605"/>
    <n v="9068"/>
    <n v="5"/>
    <s v="Y"/>
    <s v="Yes"/>
    <n v="14"/>
    <n v="3"/>
    <n v="4"/>
    <n v="80"/>
    <n v="0"/>
    <n v="8"/>
    <n v="2"/>
    <n v="3"/>
    <n v="2"/>
    <n v="1"/>
    <n v="2"/>
    <n v="2"/>
    <s v="0-2 yrs"/>
  </r>
  <r>
    <n v="36"/>
    <x v="1"/>
    <s v="Travel_Rarely"/>
    <n v="1278"/>
    <x v="2"/>
    <n v="8"/>
    <n v="3"/>
    <s v="Life Sciences"/>
    <n v="1"/>
    <n v="878"/>
    <n v="1"/>
    <s v="Male"/>
    <n v="77"/>
    <n v="2"/>
    <n v="1"/>
    <s v="Human Resources"/>
    <x v="3"/>
    <s v="Married"/>
    <x v="531"/>
    <n v="8635"/>
    <n v="0"/>
    <s v="Y"/>
    <s v="No"/>
    <n v="21"/>
    <n v="4"/>
    <n v="3"/>
    <n v="80"/>
    <n v="0"/>
    <n v="6"/>
    <n v="3"/>
    <n v="3"/>
    <n v="5"/>
    <n v="4"/>
    <n v="0"/>
    <n v="3"/>
    <s v="3-5 yrs"/>
  </r>
  <r>
    <n v="25"/>
    <x v="1"/>
    <s v="Travel_Rarely"/>
    <n v="141"/>
    <x v="0"/>
    <n v="3"/>
    <n v="1"/>
    <s v="Other"/>
    <n v="1"/>
    <n v="879"/>
    <n v="3"/>
    <s v="Male"/>
    <n v="98"/>
    <n v="3"/>
    <n v="2"/>
    <s v="Sales Executive"/>
    <x v="3"/>
    <s v="Married"/>
    <x v="606"/>
    <n v="14363"/>
    <n v="1"/>
    <s v="Y"/>
    <s v="Yes"/>
    <n v="18"/>
    <n v="3"/>
    <n v="4"/>
    <n v="80"/>
    <n v="0"/>
    <n v="5"/>
    <n v="3"/>
    <n v="3"/>
    <n v="5"/>
    <n v="3"/>
    <n v="0"/>
    <n v="3"/>
    <s v="3-5 yrs"/>
  </r>
  <r>
    <n v="35"/>
    <x v="1"/>
    <s v="Travel_Rarely"/>
    <n v="607"/>
    <x v="1"/>
    <n v="9"/>
    <n v="3"/>
    <s v="Life Sciences"/>
    <n v="1"/>
    <n v="880"/>
    <n v="4"/>
    <s v="Female"/>
    <n v="66"/>
    <n v="2"/>
    <n v="3"/>
    <s v="Manufacturing Director"/>
    <x v="2"/>
    <s v="Married"/>
    <x v="607"/>
    <n v="23457"/>
    <n v="1"/>
    <s v="Y"/>
    <s v="Yes"/>
    <n v="20"/>
    <n v="4"/>
    <n v="2"/>
    <n v="80"/>
    <n v="1"/>
    <n v="17"/>
    <n v="2"/>
    <n v="3"/>
    <n v="17"/>
    <n v="14"/>
    <n v="5"/>
    <n v="15"/>
    <s v="5+ yrs"/>
  </r>
  <r>
    <n v="35"/>
    <x v="0"/>
    <s v="Travel_Frequently"/>
    <n v="130"/>
    <x v="1"/>
    <n v="25"/>
    <n v="4"/>
    <s v="Life Sciences"/>
    <n v="1"/>
    <n v="881"/>
    <n v="4"/>
    <s v="Female"/>
    <n v="96"/>
    <n v="3"/>
    <n v="1"/>
    <s v="Research Scientist"/>
    <x v="1"/>
    <s v="Divorced"/>
    <x v="608"/>
    <n v="16612"/>
    <n v="1"/>
    <s v="Y"/>
    <s v="Yes"/>
    <n v="19"/>
    <n v="3"/>
    <n v="1"/>
    <n v="80"/>
    <n v="1"/>
    <n v="10"/>
    <n v="3"/>
    <n v="2"/>
    <n v="10"/>
    <n v="2"/>
    <n v="7"/>
    <n v="8"/>
    <s v="5+ yrs"/>
  </r>
  <r>
    <n v="32"/>
    <x v="1"/>
    <s v="Non-Travel"/>
    <n v="300"/>
    <x v="1"/>
    <n v="1"/>
    <n v="3"/>
    <s v="Life Sciences"/>
    <n v="1"/>
    <n v="882"/>
    <n v="4"/>
    <s v="Male"/>
    <n v="61"/>
    <n v="3"/>
    <n v="1"/>
    <s v="Laboratory Technician"/>
    <x v="0"/>
    <s v="Divorced"/>
    <x v="609"/>
    <n v="9148"/>
    <n v="0"/>
    <s v="Y"/>
    <s v="No"/>
    <n v="12"/>
    <n v="3"/>
    <n v="2"/>
    <n v="80"/>
    <n v="1"/>
    <n v="4"/>
    <n v="2"/>
    <n v="3"/>
    <n v="3"/>
    <n v="0"/>
    <n v="0"/>
    <n v="2"/>
    <s v="3-5 yrs"/>
  </r>
  <r>
    <n v="25"/>
    <x v="1"/>
    <s v="Travel_Rarely"/>
    <n v="583"/>
    <x v="0"/>
    <n v="4"/>
    <n v="1"/>
    <s v="Marketing"/>
    <n v="1"/>
    <n v="885"/>
    <n v="3"/>
    <s v="Male"/>
    <n v="87"/>
    <n v="2"/>
    <n v="2"/>
    <s v="Sales Executive"/>
    <x v="3"/>
    <s v="Married"/>
    <x v="610"/>
    <n v="18154"/>
    <n v="1"/>
    <s v="Y"/>
    <s v="No"/>
    <n v="12"/>
    <n v="3"/>
    <n v="1"/>
    <n v="80"/>
    <n v="0"/>
    <n v="5"/>
    <n v="1"/>
    <n v="4"/>
    <n v="5"/>
    <n v="2"/>
    <n v="0"/>
    <n v="3"/>
    <s v="3-5 yrs"/>
  </r>
  <r>
    <n v="49"/>
    <x v="1"/>
    <s v="Travel_Rarely"/>
    <n v="1418"/>
    <x v="1"/>
    <n v="1"/>
    <n v="3"/>
    <s v="Technical Degree"/>
    <n v="1"/>
    <n v="887"/>
    <n v="3"/>
    <s v="Female"/>
    <n v="36"/>
    <n v="3"/>
    <n v="1"/>
    <s v="Research Scientist"/>
    <x v="3"/>
    <s v="Married"/>
    <x v="611"/>
    <n v="10554"/>
    <n v="2"/>
    <s v="Y"/>
    <s v="No"/>
    <n v="16"/>
    <n v="3"/>
    <n v="2"/>
    <n v="80"/>
    <n v="1"/>
    <n v="7"/>
    <n v="2"/>
    <n v="3"/>
    <n v="4"/>
    <n v="2"/>
    <n v="0"/>
    <n v="2"/>
    <s v="3-5 yrs"/>
  </r>
  <r>
    <n v="24"/>
    <x v="1"/>
    <s v="Non-Travel"/>
    <n v="1269"/>
    <x v="1"/>
    <n v="4"/>
    <n v="1"/>
    <s v="Life Sciences"/>
    <n v="1"/>
    <n v="888"/>
    <n v="1"/>
    <s v="Male"/>
    <n v="46"/>
    <n v="2"/>
    <n v="1"/>
    <s v="Laboratory Technician"/>
    <x v="0"/>
    <s v="Married"/>
    <x v="612"/>
    <n v="10778"/>
    <n v="0"/>
    <s v="Y"/>
    <s v="No"/>
    <n v="17"/>
    <n v="3"/>
    <n v="4"/>
    <n v="80"/>
    <n v="0"/>
    <n v="6"/>
    <n v="2"/>
    <n v="2"/>
    <n v="5"/>
    <n v="2"/>
    <n v="3"/>
    <n v="4"/>
    <s v="3-5 yrs"/>
  </r>
  <r>
    <n v="32"/>
    <x v="1"/>
    <s v="Travel_Frequently"/>
    <n v="379"/>
    <x v="0"/>
    <n v="5"/>
    <n v="2"/>
    <s v="Life Sciences"/>
    <n v="1"/>
    <n v="889"/>
    <n v="2"/>
    <s v="Male"/>
    <n v="48"/>
    <n v="3"/>
    <n v="2"/>
    <s v="Sales Executive"/>
    <x v="1"/>
    <s v="Married"/>
    <x v="613"/>
    <n v="8891"/>
    <n v="1"/>
    <s v="Y"/>
    <s v="No"/>
    <n v="14"/>
    <n v="3"/>
    <n v="4"/>
    <n v="80"/>
    <n v="1"/>
    <n v="10"/>
    <n v="3"/>
    <n v="3"/>
    <n v="10"/>
    <n v="8"/>
    <n v="5"/>
    <n v="3"/>
    <s v="5+ yrs"/>
  </r>
  <r>
    <n v="38"/>
    <x v="1"/>
    <s v="Travel_Rarely"/>
    <n v="395"/>
    <x v="0"/>
    <n v="9"/>
    <n v="3"/>
    <s v="Marketing"/>
    <n v="1"/>
    <n v="893"/>
    <n v="2"/>
    <s v="Male"/>
    <n v="98"/>
    <n v="2"/>
    <n v="1"/>
    <s v="Sales Representative"/>
    <x v="1"/>
    <s v="Married"/>
    <x v="614"/>
    <n v="12102"/>
    <n v="0"/>
    <s v="Y"/>
    <s v="No"/>
    <n v="19"/>
    <n v="3"/>
    <n v="4"/>
    <n v="80"/>
    <n v="1"/>
    <n v="3"/>
    <n v="3"/>
    <n v="3"/>
    <n v="2"/>
    <n v="2"/>
    <n v="1"/>
    <n v="2"/>
    <s v="0-2 yrs"/>
  </r>
  <r>
    <n v="42"/>
    <x v="1"/>
    <s v="Travel_Rarely"/>
    <n v="1265"/>
    <x v="1"/>
    <n v="3"/>
    <n v="3"/>
    <s v="Life Sciences"/>
    <n v="1"/>
    <n v="894"/>
    <n v="3"/>
    <s v="Female"/>
    <n v="95"/>
    <n v="4"/>
    <n v="2"/>
    <s v="Laboratory Technician"/>
    <x v="0"/>
    <s v="Married"/>
    <x v="615"/>
    <n v="23726"/>
    <n v="2"/>
    <s v="Y"/>
    <s v="Yes"/>
    <n v="13"/>
    <n v="3"/>
    <n v="2"/>
    <n v="80"/>
    <n v="1"/>
    <n v="17"/>
    <n v="1"/>
    <n v="2"/>
    <n v="5"/>
    <n v="3"/>
    <n v="1"/>
    <n v="3"/>
    <s v="3-5 yrs"/>
  </r>
  <r>
    <n v="31"/>
    <x v="1"/>
    <s v="Travel_Rarely"/>
    <n v="1222"/>
    <x v="1"/>
    <n v="11"/>
    <n v="4"/>
    <s v="Life Sciences"/>
    <n v="1"/>
    <n v="895"/>
    <n v="4"/>
    <s v="Male"/>
    <n v="48"/>
    <n v="3"/>
    <n v="1"/>
    <s v="Research Scientist"/>
    <x v="0"/>
    <s v="Married"/>
    <x v="616"/>
    <n v="14871"/>
    <n v="3"/>
    <s v="Y"/>
    <s v="Yes"/>
    <n v="19"/>
    <n v="3"/>
    <n v="2"/>
    <n v="80"/>
    <n v="1"/>
    <n v="8"/>
    <n v="2"/>
    <n v="3"/>
    <n v="6"/>
    <n v="4"/>
    <n v="0"/>
    <n v="2"/>
    <s v="5+ yrs"/>
  </r>
  <r>
    <n v="29"/>
    <x v="0"/>
    <s v="Travel_Rarely"/>
    <n v="341"/>
    <x v="0"/>
    <n v="1"/>
    <n v="3"/>
    <s v="Medical"/>
    <n v="1"/>
    <n v="896"/>
    <n v="2"/>
    <s v="Female"/>
    <n v="48"/>
    <n v="2"/>
    <n v="1"/>
    <s v="Sales Representative"/>
    <x v="2"/>
    <s v="Divorced"/>
    <x v="617"/>
    <n v="23522"/>
    <n v="6"/>
    <s v="Y"/>
    <s v="Yes"/>
    <n v="19"/>
    <n v="3"/>
    <n v="3"/>
    <n v="80"/>
    <n v="3"/>
    <n v="5"/>
    <n v="3"/>
    <n v="3"/>
    <n v="3"/>
    <n v="2"/>
    <n v="0"/>
    <n v="2"/>
    <s v="3-5 yrs"/>
  </r>
  <r>
    <n v="53"/>
    <x v="1"/>
    <s v="Travel_Rarely"/>
    <n v="868"/>
    <x v="0"/>
    <n v="8"/>
    <n v="3"/>
    <s v="Marketing"/>
    <n v="1"/>
    <n v="897"/>
    <n v="1"/>
    <s v="Male"/>
    <n v="73"/>
    <n v="3"/>
    <n v="4"/>
    <s v="Sales Executive"/>
    <x v="0"/>
    <s v="Married"/>
    <x v="618"/>
    <n v="22789"/>
    <n v="5"/>
    <s v="Y"/>
    <s v="No"/>
    <n v="14"/>
    <n v="3"/>
    <n v="3"/>
    <n v="80"/>
    <n v="1"/>
    <n v="28"/>
    <n v="3"/>
    <n v="3"/>
    <n v="2"/>
    <n v="0"/>
    <n v="2"/>
    <n v="2"/>
    <s v="0-2 yrs"/>
  </r>
  <r>
    <n v="35"/>
    <x v="1"/>
    <s v="Travel_Rarely"/>
    <n v="672"/>
    <x v="1"/>
    <n v="25"/>
    <n v="3"/>
    <s v="Technical Degree"/>
    <n v="1"/>
    <n v="899"/>
    <n v="4"/>
    <s v="Male"/>
    <n v="78"/>
    <n v="2"/>
    <n v="3"/>
    <s v="Manufacturing Director"/>
    <x v="1"/>
    <s v="Married"/>
    <x v="619"/>
    <n v="9129"/>
    <n v="3"/>
    <s v="Y"/>
    <s v="No"/>
    <n v="16"/>
    <n v="3"/>
    <n v="1"/>
    <n v="80"/>
    <n v="0"/>
    <n v="16"/>
    <n v="2"/>
    <n v="3"/>
    <n v="13"/>
    <n v="10"/>
    <n v="4"/>
    <n v="8"/>
    <s v="5+ yrs"/>
  </r>
  <r>
    <n v="37"/>
    <x v="1"/>
    <s v="Travel_Frequently"/>
    <n v="1231"/>
    <x v="0"/>
    <n v="21"/>
    <n v="2"/>
    <s v="Medical"/>
    <n v="1"/>
    <n v="900"/>
    <n v="3"/>
    <s v="Female"/>
    <n v="54"/>
    <n v="3"/>
    <n v="1"/>
    <s v="Sales Representative"/>
    <x v="0"/>
    <s v="Married"/>
    <x v="620"/>
    <n v="21222"/>
    <n v="5"/>
    <s v="Y"/>
    <s v="No"/>
    <n v="15"/>
    <n v="3"/>
    <n v="2"/>
    <n v="80"/>
    <n v="1"/>
    <n v="10"/>
    <n v="3"/>
    <n v="3"/>
    <n v="5"/>
    <n v="4"/>
    <n v="0"/>
    <n v="0"/>
    <s v="3-5 yrs"/>
  </r>
  <r>
    <n v="53"/>
    <x v="1"/>
    <s v="Travel_Rarely"/>
    <n v="102"/>
    <x v="1"/>
    <n v="23"/>
    <n v="4"/>
    <s v="Life Sciences"/>
    <n v="1"/>
    <n v="901"/>
    <n v="4"/>
    <s v="Female"/>
    <n v="72"/>
    <n v="3"/>
    <n v="4"/>
    <s v="Research Director"/>
    <x v="0"/>
    <s v="Single"/>
    <x v="621"/>
    <n v="20206"/>
    <n v="6"/>
    <s v="Y"/>
    <s v="No"/>
    <n v="18"/>
    <n v="3"/>
    <n v="3"/>
    <n v="80"/>
    <n v="0"/>
    <n v="33"/>
    <n v="0"/>
    <n v="3"/>
    <n v="12"/>
    <n v="9"/>
    <n v="3"/>
    <n v="8"/>
    <s v="5+ yrs"/>
  </r>
  <r>
    <n v="43"/>
    <x v="1"/>
    <s v="Travel_Frequently"/>
    <n v="422"/>
    <x v="1"/>
    <n v="1"/>
    <n v="3"/>
    <s v="Life Sciences"/>
    <n v="1"/>
    <n v="902"/>
    <n v="4"/>
    <s v="Female"/>
    <n v="33"/>
    <n v="3"/>
    <n v="2"/>
    <s v="Healthcare Representative"/>
    <x v="0"/>
    <s v="Married"/>
    <x v="622"/>
    <n v="21782"/>
    <n v="4"/>
    <s v="Y"/>
    <s v="No"/>
    <n v="13"/>
    <n v="3"/>
    <n v="2"/>
    <n v="80"/>
    <n v="1"/>
    <n v="12"/>
    <n v="2"/>
    <n v="2"/>
    <n v="5"/>
    <n v="2"/>
    <n v="2"/>
    <n v="2"/>
    <s v="3-5 yrs"/>
  </r>
  <r>
    <n v="47"/>
    <x v="1"/>
    <s v="Travel_Rarely"/>
    <n v="249"/>
    <x v="0"/>
    <n v="2"/>
    <n v="2"/>
    <s v="Marketing"/>
    <n v="1"/>
    <n v="903"/>
    <n v="3"/>
    <s v="Female"/>
    <n v="35"/>
    <n v="3"/>
    <n v="2"/>
    <s v="Sales Executive"/>
    <x v="0"/>
    <s v="Married"/>
    <x v="623"/>
    <n v="17783"/>
    <n v="0"/>
    <s v="Y"/>
    <s v="Yes"/>
    <n v="22"/>
    <n v="4"/>
    <n v="1"/>
    <n v="80"/>
    <n v="1"/>
    <n v="8"/>
    <n v="2"/>
    <n v="3"/>
    <n v="7"/>
    <n v="6"/>
    <n v="7"/>
    <n v="7"/>
    <s v="5+ yrs"/>
  </r>
  <r>
    <n v="37"/>
    <x v="1"/>
    <s v="Non-Travel"/>
    <n v="1252"/>
    <x v="0"/>
    <n v="19"/>
    <n v="2"/>
    <s v="Medical"/>
    <n v="1"/>
    <n v="904"/>
    <n v="1"/>
    <s v="Male"/>
    <n v="32"/>
    <n v="3"/>
    <n v="3"/>
    <s v="Sales Executive"/>
    <x v="1"/>
    <s v="Single"/>
    <x v="624"/>
    <n v="4814"/>
    <n v="1"/>
    <s v="Y"/>
    <s v="Yes"/>
    <n v="13"/>
    <n v="3"/>
    <n v="4"/>
    <n v="80"/>
    <n v="0"/>
    <n v="10"/>
    <n v="2"/>
    <n v="3"/>
    <n v="10"/>
    <n v="0"/>
    <n v="0"/>
    <n v="9"/>
    <s v="5+ yrs"/>
  </r>
  <r>
    <n v="50"/>
    <x v="1"/>
    <s v="Non-Travel"/>
    <n v="881"/>
    <x v="1"/>
    <n v="2"/>
    <n v="4"/>
    <s v="Life Sciences"/>
    <n v="1"/>
    <n v="905"/>
    <n v="1"/>
    <s v="Male"/>
    <n v="98"/>
    <n v="3"/>
    <n v="4"/>
    <s v="Manager"/>
    <x v="3"/>
    <s v="Divorced"/>
    <x v="625"/>
    <n v="4544"/>
    <n v="1"/>
    <s v="Y"/>
    <s v="No"/>
    <n v="11"/>
    <n v="3"/>
    <n v="4"/>
    <n v="80"/>
    <n v="1"/>
    <n v="31"/>
    <n v="3"/>
    <n v="3"/>
    <n v="31"/>
    <n v="6"/>
    <n v="14"/>
    <n v="7"/>
    <s v="5+ yrs"/>
  </r>
  <r>
    <n v="39"/>
    <x v="1"/>
    <s v="Travel_Rarely"/>
    <n v="1383"/>
    <x v="2"/>
    <n v="2"/>
    <n v="3"/>
    <s v="Life Sciences"/>
    <n v="1"/>
    <n v="909"/>
    <n v="4"/>
    <s v="Female"/>
    <n v="42"/>
    <n v="2"/>
    <n v="2"/>
    <s v="Human Resources"/>
    <x v="0"/>
    <s v="Married"/>
    <x v="626"/>
    <n v="7790"/>
    <n v="8"/>
    <s v="Y"/>
    <s v="No"/>
    <n v="11"/>
    <n v="3"/>
    <n v="3"/>
    <n v="80"/>
    <n v="2"/>
    <n v="13"/>
    <n v="2"/>
    <n v="3"/>
    <n v="5"/>
    <n v="4"/>
    <n v="0"/>
    <n v="4"/>
    <s v="3-5 yrs"/>
  </r>
  <r>
    <n v="33"/>
    <x v="1"/>
    <s v="Travel_Rarely"/>
    <n v="1075"/>
    <x v="2"/>
    <n v="3"/>
    <n v="2"/>
    <s v="Human Resources"/>
    <n v="1"/>
    <n v="910"/>
    <n v="4"/>
    <s v="Male"/>
    <n v="57"/>
    <n v="3"/>
    <n v="1"/>
    <s v="Human Resources"/>
    <x v="1"/>
    <s v="Divorced"/>
    <x v="627"/>
    <n v="22650"/>
    <n v="3"/>
    <s v="Y"/>
    <s v="Yes"/>
    <n v="11"/>
    <n v="3"/>
    <n v="3"/>
    <n v="80"/>
    <n v="1"/>
    <n v="7"/>
    <n v="4"/>
    <n v="4"/>
    <n v="4"/>
    <n v="3"/>
    <n v="0"/>
    <n v="3"/>
    <s v="3-5 yrs"/>
  </r>
  <r>
    <n v="32"/>
    <x v="0"/>
    <s v="Travel_Rarely"/>
    <n v="374"/>
    <x v="1"/>
    <n v="25"/>
    <n v="4"/>
    <s v="Life Sciences"/>
    <n v="1"/>
    <n v="911"/>
    <n v="1"/>
    <s v="Male"/>
    <n v="87"/>
    <n v="3"/>
    <n v="1"/>
    <s v="Laboratory Technician"/>
    <x v="0"/>
    <s v="Single"/>
    <x v="628"/>
    <n v="18016"/>
    <n v="1"/>
    <s v="Y"/>
    <s v="Yes"/>
    <n v="24"/>
    <n v="4"/>
    <n v="3"/>
    <n v="80"/>
    <n v="0"/>
    <n v="1"/>
    <n v="2"/>
    <n v="1"/>
    <n v="1"/>
    <n v="0"/>
    <n v="0"/>
    <n v="1"/>
    <s v="0-2 yrs"/>
  </r>
  <r>
    <n v="29"/>
    <x v="1"/>
    <s v="Travel_Rarely"/>
    <n v="1086"/>
    <x v="1"/>
    <n v="7"/>
    <n v="1"/>
    <s v="Medical"/>
    <n v="1"/>
    <n v="912"/>
    <n v="1"/>
    <s v="Female"/>
    <n v="62"/>
    <n v="2"/>
    <n v="1"/>
    <s v="Laboratory Technician"/>
    <x v="0"/>
    <s v="Divorced"/>
    <x v="629"/>
    <n v="6054"/>
    <n v="6"/>
    <s v="Y"/>
    <s v="No"/>
    <n v="14"/>
    <n v="3"/>
    <n v="3"/>
    <n v="80"/>
    <n v="3"/>
    <n v="8"/>
    <n v="5"/>
    <n v="3"/>
    <n v="4"/>
    <n v="3"/>
    <n v="0"/>
    <n v="3"/>
    <s v="3-5 yrs"/>
  </r>
  <r>
    <n v="44"/>
    <x v="1"/>
    <s v="Travel_Rarely"/>
    <n v="661"/>
    <x v="1"/>
    <n v="9"/>
    <n v="2"/>
    <s v="Life Sciences"/>
    <n v="1"/>
    <n v="913"/>
    <n v="2"/>
    <s v="Male"/>
    <n v="61"/>
    <n v="3"/>
    <n v="1"/>
    <s v="Research Scientist"/>
    <x v="3"/>
    <s v="Married"/>
    <x v="594"/>
    <n v="7508"/>
    <n v="1"/>
    <s v="Y"/>
    <s v="Yes"/>
    <n v="13"/>
    <n v="3"/>
    <n v="4"/>
    <n v="80"/>
    <n v="0"/>
    <n v="8"/>
    <n v="0"/>
    <n v="3"/>
    <n v="8"/>
    <n v="7"/>
    <n v="7"/>
    <n v="1"/>
    <s v="5+ yrs"/>
  </r>
  <r>
    <n v="28"/>
    <x v="1"/>
    <s v="Travel_Rarely"/>
    <n v="821"/>
    <x v="0"/>
    <n v="5"/>
    <n v="4"/>
    <s v="Medical"/>
    <n v="1"/>
    <n v="916"/>
    <n v="1"/>
    <s v="Male"/>
    <n v="98"/>
    <n v="3"/>
    <n v="2"/>
    <s v="Sales Executive"/>
    <x v="0"/>
    <s v="Single"/>
    <x v="630"/>
    <n v="24252"/>
    <n v="1"/>
    <s v="Y"/>
    <s v="No"/>
    <n v="14"/>
    <n v="3"/>
    <n v="2"/>
    <n v="80"/>
    <n v="0"/>
    <n v="4"/>
    <n v="3"/>
    <n v="3"/>
    <n v="4"/>
    <n v="2"/>
    <n v="0"/>
    <n v="2"/>
    <s v="3-5 yrs"/>
  </r>
  <r>
    <n v="58"/>
    <x v="0"/>
    <s v="Travel_Frequently"/>
    <n v="781"/>
    <x v="1"/>
    <n v="2"/>
    <n v="1"/>
    <s v="Life Sciences"/>
    <n v="1"/>
    <n v="918"/>
    <n v="4"/>
    <s v="Male"/>
    <n v="57"/>
    <n v="2"/>
    <n v="1"/>
    <s v="Laboratory Technician"/>
    <x v="0"/>
    <s v="Divorced"/>
    <x v="631"/>
    <n v="13384"/>
    <n v="9"/>
    <s v="Y"/>
    <s v="Yes"/>
    <n v="14"/>
    <n v="3"/>
    <n v="4"/>
    <n v="80"/>
    <n v="1"/>
    <n v="3"/>
    <n v="3"/>
    <n v="2"/>
    <n v="1"/>
    <n v="0"/>
    <n v="0"/>
    <n v="0"/>
    <s v="0-2 yrs"/>
  </r>
  <r>
    <n v="43"/>
    <x v="1"/>
    <s v="Travel_Rarely"/>
    <n v="177"/>
    <x v="1"/>
    <n v="8"/>
    <n v="3"/>
    <s v="Life Sciences"/>
    <n v="1"/>
    <n v="920"/>
    <n v="1"/>
    <s v="Female"/>
    <n v="55"/>
    <n v="3"/>
    <n v="2"/>
    <s v="Manufacturing Director"/>
    <x v="1"/>
    <s v="Divorced"/>
    <x v="632"/>
    <n v="23814"/>
    <n v="4"/>
    <s v="Y"/>
    <s v="No"/>
    <n v="21"/>
    <n v="4"/>
    <n v="3"/>
    <n v="80"/>
    <n v="1"/>
    <n v="4"/>
    <n v="2"/>
    <n v="4"/>
    <n v="1"/>
    <n v="0"/>
    <n v="0"/>
    <n v="0"/>
    <s v="0-2 yrs"/>
  </r>
  <r>
    <n v="20"/>
    <x v="0"/>
    <s v="Travel_Rarely"/>
    <n v="500"/>
    <x v="0"/>
    <n v="2"/>
    <n v="3"/>
    <s v="Medical"/>
    <n v="1"/>
    <n v="922"/>
    <n v="3"/>
    <s v="Female"/>
    <n v="49"/>
    <n v="2"/>
    <n v="1"/>
    <s v="Sales Representative"/>
    <x v="2"/>
    <s v="Single"/>
    <x v="633"/>
    <n v="22052"/>
    <n v="1"/>
    <s v="Y"/>
    <s v="No"/>
    <n v="13"/>
    <n v="3"/>
    <n v="4"/>
    <n v="80"/>
    <n v="0"/>
    <n v="2"/>
    <n v="3"/>
    <n v="2"/>
    <n v="2"/>
    <n v="2"/>
    <n v="0"/>
    <n v="2"/>
    <s v="0-2 yrs"/>
  </r>
  <r>
    <n v="21"/>
    <x v="0"/>
    <s v="Travel_Rarely"/>
    <n v="1427"/>
    <x v="1"/>
    <n v="18"/>
    <n v="1"/>
    <s v="Other"/>
    <n v="1"/>
    <n v="923"/>
    <n v="4"/>
    <s v="Female"/>
    <n v="65"/>
    <n v="3"/>
    <n v="1"/>
    <s v="Research Scientist"/>
    <x v="0"/>
    <s v="Single"/>
    <x v="7"/>
    <n v="8870"/>
    <n v="1"/>
    <s v="Y"/>
    <s v="No"/>
    <n v="19"/>
    <n v="3"/>
    <n v="1"/>
    <n v="80"/>
    <n v="0"/>
    <n v="1"/>
    <n v="3"/>
    <n v="2"/>
    <n v="1"/>
    <n v="0"/>
    <n v="0"/>
    <n v="0"/>
    <s v="0-2 yrs"/>
  </r>
  <r>
    <n v="36"/>
    <x v="1"/>
    <s v="Travel_Rarely"/>
    <n v="1425"/>
    <x v="1"/>
    <n v="14"/>
    <n v="1"/>
    <s v="Life Sciences"/>
    <n v="1"/>
    <n v="924"/>
    <n v="3"/>
    <s v="Male"/>
    <n v="68"/>
    <n v="3"/>
    <n v="2"/>
    <s v="Healthcare Representative"/>
    <x v="0"/>
    <s v="Married"/>
    <x v="634"/>
    <n v="4821"/>
    <n v="0"/>
    <s v="Y"/>
    <s v="Yes"/>
    <n v="17"/>
    <n v="3"/>
    <n v="1"/>
    <n v="80"/>
    <n v="1"/>
    <n v="17"/>
    <n v="2"/>
    <n v="2"/>
    <n v="16"/>
    <n v="8"/>
    <n v="4"/>
    <n v="11"/>
    <s v="5+ yrs"/>
  </r>
  <r>
    <n v="47"/>
    <x v="1"/>
    <s v="Travel_Rarely"/>
    <n v="1454"/>
    <x v="0"/>
    <n v="2"/>
    <n v="4"/>
    <s v="Life Sciences"/>
    <n v="1"/>
    <n v="925"/>
    <n v="4"/>
    <s v="Female"/>
    <n v="65"/>
    <n v="2"/>
    <n v="1"/>
    <s v="Sales Representative"/>
    <x v="0"/>
    <s v="Single"/>
    <x v="635"/>
    <n v="13137"/>
    <n v="1"/>
    <s v="Y"/>
    <s v="Yes"/>
    <n v="18"/>
    <n v="3"/>
    <n v="1"/>
    <n v="80"/>
    <n v="0"/>
    <n v="3"/>
    <n v="3"/>
    <n v="2"/>
    <n v="3"/>
    <n v="2"/>
    <n v="1"/>
    <n v="2"/>
    <s v="3-5 yrs"/>
  </r>
  <r>
    <n v="22"/>
    <x v="0"/>
    <s v="Travel_Rarely"/>
    <n v="617"/>
    <x v="1"/>
    <n v="3"/>
    <n v="1"/>
    <s v="Life Sciences"/>
    <n v="1"/>
    <n v="926"/>
    <n v="2"/>
    <s v="Female"/>
    <n v="34"/>
    <n v="3"/>
    <n v="2"/>
    <s v="Manufacturing Director"/>
    <x v="2"/>
    <s v="Married"/>
    <x v="636"/>
    <n v="10022"/>
    <n v="0"/>
    <s v="Y"/>
    <s v="Yes"/>
    <n v="19"/>
    <n v="3"/>
    <n v="1"/>
    <n v="80"/>
    <n v="1"/>
    <n v="4"/>
    <n v="3"/>
    <n v="4"/>
    <n v="3"/>
    <n v="2"/>
    <n v="0"/>
    <n v="2"/>
    <s v="3-5 yrs"/>
  </r>
  <r>
    <n v="41"/>
    <x v="0"/>
    <s v="Travel_Rarely"/>
    <n v="1085"/>
    <x v="1"/>
    <n v="2"/>
    <n v="4"/>
    <s v="Life Sciences"/>
    <n v="1"/>
    <n v="927"/>
    <n v="2"/>
    <s v="Female"/>
    <n v="57"/>
    <n v="1"/>
    <n v="1"/>
    <s v="Laboratory Technician"/>
    <x v="0"/>
    <s v="Divorced"/>
    <x v="637"/>
    <n v="17725"/>
    <n v="4"/>
    <s v="Y"/>
    <s v="Yes"/>
    <n v="13"/>
    <n v="3"/>
    <n v="3"/>
    <n v="80"/>
    <n v="1"/>
    <n v="10"/>
    <n v="1"/>
    <n v="2"/>
    <n v="7"/>
    <n v="7"/>
    <n v="1"/>
    <n v="0"/>
    <s v="5+ yrs"/>
  </r>
  <r>
    <n v="28"/>
    <x v="1"/>
    <s v="Travel_Rarely"/>
    <n v="995"/>
    <x v="1"/>
    <n v="9"/>
    <n v="3"/>
    <s v="Medical"/>
    <n v="1"/>
    <n v="930"/>
    <n v="3"/>
    <s v="Female"/>
    <n v="77"/>
    <n v="3"/>
    <n v="1"/>
    <s v="Research Scientist"/>
    <x v="2"/>
    <s v="Divorced"/>
    <x v="638"/>
    <n v="9834"/>
    <n v="5"/>
    <s v="Y"/>
    <s v="No"/>
    <n v="18"/>
    <n v="3"/>
    <n v="2"/>
    <n v="80"/>
    <n v="1"/>
    <n v="6"/>
    <n v="2"/>
    <n v="3"/>
    <n v="2"/>
    <n v="2"/>
    <n v="2"/>
    <n v="2"/>
    <s v="0-2 yrs"/>
  </r>
  <r>
    <n v="39"/>
    <x v="0"/>
    <s v="Travel_Rarely"/>
    <n v="1122"/>
    <x v="1"/>
    <n v="6"/>
    <n v="3"/>
    <s v="Medical"/>
    <n v="1"/>
    <n v="932"/>
    <n v="4"/>
    <s v="Male"/>
    <n v="70"/>
    <n v="3"/>
    <n v="1"/>
    <s v="Laboratory Technician"/>
    <x v="3"/>
    <s v="Married"/>
    <x v="639"/>
    <n v="4303"/>
    <n v="7"/>
    <s v="Y"/>
    <s v="Yes"/>
    <n v="21"/>
    <n v="4"/>
    <n v="4"/>
    <n v="80"/>
    <n v="0"/>
    <n v="8"/>
    <n v="2"/>
    <n v="1"/>
    <n v="2"/>
    <n v="2"/>
    <n v="2"/>
    <n v="2"/>
    <s v="0-2 yrs"/>
  </r>
  <r>
    <n v="27"/>
    <x v="1"/>
    <s v="Travel_Rarely"/>
    <n v="618"/>
    <x v="1"/>
    <n v="4"/>
    <n v="3"/>
    <s v="Life Sciences"/>
    <n v="1"/>
    <n v="933"/>
    <n v="2"/>
    <s v="Female"/>
    <n v="76"/>
    <n v="3"/>
    <n v="1"/>
    <s v="Research Scientist"/>
    <x v="2"/>
    <s v="Single"/>
    <x v="640"/>
    <n v="17808"/>
    <n v="1"/>
    <s v="Y"/>
    <s v="No"/>
    <n v="19"/>
    <n v="3"/>
    <n v="3"/>
    <n v="80"/>
    <n v="0"/>
    <n v="1"/>
    <n v="2"/>
    <n v="3"/>
    <n v="1"/>
    <n v="1"/>
    <n v="0"/>
    <n v="0"/>
    <s v="0-2 yrs"/>
  </r>
  <r>
    <n v="34"/>
    <x v="1"/>
    <s v="Travel_Rarely"/>
    <n v="546"/>
    <x v="1"/>
    <n v="10"/>
    <n v="3"/>
    <s v="Life Sciences"/>
    <n v="1"/>
    <n v="934"/>
    <n v="2"/>
    <s v="Male"/>
    <n v="83"/>
    <n v="3"/>
    <n v="1"/>
    <s v="Laboratory Technician"/>
    <x v="1"/>
    <s v="Divorced"/>
    <x v="641"/>
    <n v="6896"/>
    <n v="1"/>
    <s v="Y"/>
    <s v="No"/>
    <n v="14"/>
    <n v="3"/>
    <n v="2"/>
    <n v="80"/>
    <n v="2"/>
    <n v="1"/>
    <n v="3"/>
    <n v="3"/>
    <n v="1"/>
    <n v="0"/>
    <n v="1"/>
    <n v="0"/>
    <s v="0-2 yrs"/>
  </r>
  <r>
    <n v="42"/>
    <x v="1"/>
    <s v="Travel_Rarely"/>
    <n v="462"/>
    <x v="0"/>
    <n v="14"/>
    <n v="2"/>
    <s v="Medical"/>
    <n v="1"/>
    <n v="936"/>
    <n v="3"/>
    <s v="Female"/>
    <n v="68"/>
    <n v="2"/>
    <n v="2"/>
    <s v="Sales Executive"/>
    <x v="2"/>
    <s v="Single"/>
    <x v="642"/>
    <n v="7824"/>
    <n v="7"/>
    <s v="Y"/>
    <s v="No"/>
    <n v="17"/>
    <n v="3"/>
    <n v="1"/>
    <n v="80"/>
    <n v="0"/>
    <n v="10"/>
    <n v="6"/>
    <n v="3"/>
    <n v="5"/>
    <n v="4"/>
    <n v="0"/>
    <n v="3"/>
    <s v="3-5 yrs"/>
  </r>
  <r>
    <n v="33"/>
    <x v="1"/>
    <s v="Travel_Rarely"/>
    <n v="1198"/>
    <x v="1"/>
    <n v="1"/>
    <n v="4"/>
    <s v="Other"/>
    <n v="1"/>
    <n v="939"/>
    <n v="3"/>
    <s v="Male"/>
    <n v="100"/>
    <n v="2"/>
    <n v="1"/>
    <s v="Research Scientist"/>
    <x v="3"/>
    <s v="Single"/>
    <x v="643"/>
    <n v="3339"/>
    <n v="3"/>
    <s v="Y"/>
    <s v="Yes"/>
    <n v="11"/>
    <n v="3"/>
    <n v="2"/>
    <n v="80"/>
    <n v="0"/>
    <n v="6"/>
    <n v="1"/>
    <n v="3"/>
    <n v="3"/>
    <n v="2"/>
    <n v="0"/>
    <n v="2"/>
    <s v="3-5 yrs"/>
  </r>
  <r>
    <n v="58"/>
    <x v="1"/>
    <s v="Travel_Rarely"/>
    <n v="1272"/>
    <x v="1"/>
    <n v="5"/>
    <n v="3"/>
    <s v="Technical Degree"/>
    <n v="1"/>
    <n v="940"/>
    <n v="3"/>
    <s v="Female"/>
    <n v="37"/>
    <n v="2"/>
    <n v="3"/>
    <s v="Healthcare Representative"/>
    <x v="1"/>
    <s v="Divorced"/>
    <x v="644"/>
    <n v="9255"/>
    <n v="2"/>
    <s v="Y"/>
    <s v="Yes"/>
    <n v="13"/>
    <n v="3"/>
    <n v="4"/>
    <n v="80"/>
    <n v="1"/>
    <n v="24"/>
    <n v="3"/>
    <n v="3"/>
    <n v="6"/>
    <n v="0"/>
    <n v="0"/>
    <n v="4"/>
    <s v="5+ yrs"/>
  </r>
  <r>
    <n v="31"/>
    <x v="1"/>
    <s v="Travel_Rarely"/>
    <n v="154"/>
    <x v="0"/>
    <n v="7"/>
    <n v="4"/>
    <s v="Life Sciences"/>
    <n v="1"/>
    <n v="941"/>
    <n v="2"/>
    <s v="Male"/>
    <n v="41"/>
    <n v="2"/>
    <n v="1"/>
    <s v="Sales Representative"/>
    <x v="2"/>
    <s v="Married"/>
    <x v="645"/>
    <n v="11737"/>
    <n v="3"/>
    <s v="Y"/>
    <s v="No"/>
    <n v="15"/>
    <n v="3"/>
    <n v="2"/>
    <n v="80"/>
    <n v="0"/>
    <n v="13"/>
    <n v="2"/>
    <n v="4"/>
    <n v="7"/>
    <n v="7"/>
    <n v="5"/>
    <n v="2"/>
    <s v="5+ yrs"/>
  </r>
  <r>
    <n v="35"/>
    <x v="1"/>
    <s v="Travel_Rarely"/>
    <n v="1137"/>
    <x v="1"/>
    <n v="21"/>
    <n v="1"/>
    <s v="Life Sciences"/>
    <n v="1"/>
    <n v="942"/>
    <n v="4"/>
    <s v="Female"/>
    <n v="51"/>
    <n v="3"/>
    <n v="2"/>
    <s v="Healthcare Representative"/>
    <x v="0"/>
    <s v="Married"/>
    <x v="55"/>
    <n v="19170"/>
    <n v="1"/>
    <s v="Y"/>
    <s v="Yes"/>
    <n v="25"/>
    <n v="4"/>
    <n v="4"/>
    <n v="80"/>
    <n v="1"/>
    <n v="10"/>
    <n v="2"/>
    <n v="1"/>
    <n v="10"/>
    <n v="6"/>
    <n v="0"/>
    <n v="7"/>
    <s v="5+ yrs"/>
  </r>
  <r>
    <n v="49"/>
    <x v="1"/>
    <s v="Travel_Rarely"/>
    <n v="527"/>
    <x v="1"/>
    <n v="8"/>
    <n v="2"/>
    <s v="Other"/>
    <n v="1"/>
    <n v="944"/>
    <n v="1"/>
    <s v="Female"/>
    <n v="51"/>
    <n v="3"/>
    <n v="3"/>
    <s v="Laboratory Technician"/>
    <x v="1"/>
    <s v="Married"/>
    <x v="646"/>
    <n v="22477"/>
    <n v="4"/>
    <s v="Y"/>
    <s v="No"/>
    <n v="11"/>
    <n v="3"/>
    <n v="3"/>
    <n v="80"/>
    <n v="1"/>
    <n v="29"/>
    <n v="3"/>
    <n v="2"/>
    <n v="26"/>
    <n v="9"/>
    <n v="1"/>
    <n v="7"/>
    <s v="5+ yrs"/>
  </r>
  <r>
    <n v="48"/>
    <x v="1"/>
    <s v="Travel_Rarely"/>
    <n v="1469"/>
    <x v="1"/>
    <n v="20"/>
    <n v="4"/>
    <s v="Medical"/>
    <n v="1"/>
    <n v="945"/>
    <n v="4"/>
    <s v="Male"/>
    <n v="51"/>
    <n v="3"/>
    <n v="1"/>
    <s v="Research Scientist"/>
    <x v="2"/>
    <s v="Married"/>
    <x v="647"/>
    <n v="5543"/>
    <n v="4"/>
    <s v="Y"/>
    <s v="No"/>
    <n v="17"/>
    <n v="3"/>
    <n v="1"/>
    <n v="80"/>
    <n v="2"/>
    <n v="13"/>
    <n v="2"/>
    <n v="2"/>
    <n v="0"/>
    <n v="0"/>
    <n v="0"/>
    <n v="0"/>
    <s v="0-2 yrs"/>
  </r>
  <r>
    <n v="31"/>
    <x v="1"/>
    <s v="Non-Travel"/>
    <n v="1188"/>
    <x v="0"/>
    <n v="20"/>
    <n v="2"/>
    <s v="Marketing"/>
    <n v="1"/>
    <n v="947"/>
    <n v="4"/>
    <s v="Female"/>
    <n v="45"/>
    <n v="3"/>
    <n v="2"/>
    <s v="Sales Executive"/>
    <x v="2"/>
    <s v="Married"/>
    <x v="648"/>
    <n v="24406"/>
    <n v="1"/>
    <s v="Y"/>
    <s v="No"/>
    <n v="13"/>
    <n v="3"/>
    <n v="4"/>
    <n v="80"/>
    <n v="1"/>
    <n v="9"/>
    <n v="2"/>
    <n v="2"/>
    <n v="9"/>
    <n v="8"/>
    <n v="0"/>
    <n v="0"/>
    <s v="5+ yrs"/>
  </r>
  <r>
    <n v="36"/>
    <x v="1"/>
    <s v="Travel_Rarely"/>
    <n v="188"/>
    <x v="1"/>
    <n v="7"/>
    <n v="4"/>
    <s v="Other"/>
    <n v="1"/>
    <n v="949"/>
    <n v="2"/>
    <s v="Male"/>
    <n v="65"/>
    <n v="3"/>
    <n v="1"/>
    <s v="Research Scientist"/>
    <x v="0"/>
    <s v="Single"/>
    <x v="649"/>
    <n v="23293"/>
    <n v="2"/>
    <s v="Y"/>
    <s v="No"/>
    <n v="18"/>
    <n v="3"/>
    <n v="3"/>
    <n v="80"/>
    <n v="0"/>
    <n v="8"/>
    <n v="6"/>
    <n v="3"/>
    <n v="6"/>
    <n v="2"/>
    <n v="0"/>
    <n v="1"/>
    <s v="5+ yrs"/>
  </r>
  <r>
    <n v="38"/>
    <x v="1"/>
    <s v="Travel_Rarely"/>
    <n v="1333"/>
    <x v="1"/>
    <n v="1"/>
    <n v="3"/>
    <s v="Technical Degree"/>
    <n v="1"/>
    <n v="950"/>
    <n v="4"/>
    <s v="Female"/>
    <n v="80"/>
    <n v="3"/>
    <n v="3"/>
    <s v="Research Director"/>
    <x v="3"/>
    <s v="Married"/>
    <x v="650"/>
    <n v="16292"/>
    <n v="1"/>
    <s v="Y"/>
    <s v="No"/>
    <n v="13"/>
    <n v="3"/>
    <n v="2"/>
    <n v="80"/>
    <n v="1"/>
    <n v="15"/>
    <n v="3"/>
    <n v="3"/>
    <n v="15"/>
    <n v="12"/>
    <n v="5"/>
    <n v="11"/>
    <s v="5+ yrs"/>
  </r>
  <r>
    <n v="32"/>
    <x v="1"/>
    <s v="Non-Travel"/>
    <n v="1184"/>
    <x v="1"/>
    <n v="1"/>
    <n v="3"/>
    <s v="Life Sciences"/>
    <n v="1"/>
    <n v="951"/>
    <n v="3"/>
    <s v="Female"/>
    <n v="70"/>
    <n v="2"/>
    <n v="1"/>
    <s v="Laboratory Technician"/>
    <x v="1"/>
    <s v="Married"/>
    <x v="651"/>
    <n v="3974"/>
    <n v="6"/>
    <s v="Y"/>
    <s v="No"/>
    <n v="20"/>
    <n v="4"/>
    <n v="3"/>
    <n v="80"/>
    <n v="0"/>
    <n v="5"/>
    <n v="3"/>
    <n v="3"/>
    <n v="3"/>
    <n v="0"/>
    <n v="0"/>
    <n v="2"/>
    <s v="3-5 yrs"/>
  </r>
  <r>
    <n v="25"/>
    <x v="0"/>
    <s v="Travel_Rarely"/>
    <n v="867"/>
    <x v="0"/>
    <n v="19"/>
    <n v="2"/>
    <s v="Marketing"/>
    <n v="1"/>
    <n v="952"/>
    <n v="3"/>
    <s v="Male"/>
    <n v="36"/>
    <n v="2"/>
    <n v="1"/>
    <s v="Sales Representative"/>
    <x v="1"/>
    <s v="Married"/>
    <x v="652"/>
    <n v="18798"/>
    <n v="1"/>
    <s v="Y"/>
    <s v="Yes"/>
    <n v="18"/>
    <n v="3"/>
    <n v="3"/>
    <n v="80"/>
    <n v="3"/>
    <n v="1"/>
    <n v="2"/>
    <n v="3"/>
    <n v="1"/>
    <n v="0"/>
    <n v="0"/>
    <n v="0"/>
    <s v="0-2 yrs"/>
  </r>
  <r>
    <n v="40"/>
    <x v="1"/>
    <s v="Travel_Rarely"/>
    <n v="658"/>
    <x v="0"/>
    <n v="10"/>
    <n v="4"/>
    <s v="Marketing"/>
    <n v="1"/>
    <n v="954"/>
    <n v="1"/>
    <s v="Male"/>
    <n v="67"/>
    <n v="2"/>
    <n v="3"/>
    <s v="Sales Executive"/>
    <x v="1"/>
    <s v="Divorced"/>
    <x v="653"/>
    <n v="20652"/>
    <n v="2"/>
    <s v="Y"/>
    <s v="No"/>
    <n v="12"/>
    <n v="3"/>
    <n v="2"/>
    <n v="80"/>
    <n v="1"/>
    <n v="11"/>
    <n v="2"/>
    <n v="2"/>
    <n v="1"/>
    <n v="0"/>
    <n v="0"/>
    <n v="0"/>
    <s v="0-2 yrs"/>
  </r>
  <r>
    <n v="26"/>
    <x v="1"/>
    <s v="Travel_Frequently"/>
    <n v="1283"/>
    <x v="0"/>
    <n v="1"/>
    <n v="3"/>
    <s v="Medical"/>
    <n v="1"/>
    <n v="956"/>
    <n v="3"/>
    <s v="Male"/>
    <n v="52"/>
    <n v="2"/>
    <n v="2"/>
    <s v="Sales Executive"/>
    <x v="3"/>
    <s v="Single"/>
    <x v="654"/>
    <n v="11148"/>
    <n v="1"/>
    <s v="Y"/>
    <s v="No"/>
    <n v="12"/>
    <n v="3"/>
    <n v="2"/>
    <n v="80"/>
    <n v="0"/>
    <n v="7"/>
    <n v="2"/>
    <n v="3"/>
    <n v="7"/>
    <n v="7"/>
    <n v="0"/>
    <n v="7"/>
    <s v="5+ yrs"/>
  </r>
  <r>
    <n v="41"/>
    <x v="1"/>
    <s v="Travel_Rarely"/>
    <n v="263"/>
    <x v="1"/>
    <n v="6"/>
    <n v="3"/>
    <s v="Medical"/>
    <n v="1"/>
    <n v="957"/>
    <n v="4"/>
    <s v="Male"/>
    <n v="59"/>
    <n v="3"/>
    <n v="1"/>
    <s v="Laboratory Technician"/>
    <x v="3"/>
    <s v="Single"/>
    <x v="655"/>
    <n v="3119"/>
    <n v="2"/>
    <s v="Y"/>
    <s v="Yes"/>
    <n v="13"/>
    <n v="3"/>
    <n v="3"/>
    <n v="80"/>
    <n v="0"/>
    <n v="20"/>
    <n v="3"/>
    <n v="3"/>
    <n v="18"/>
    <n v="13"/>
    <n v="2"/>
    <n v="17"/>
    <s v="5+ yrs"/>
  </r>
  <r>
    <n v="36"/>
    <x v="1"/>
    <s v="Travel_Rarely"/>
    <n v="938"/>
    <x v="1"/>
    <n v="2"/>
    <n v="4"/>
    <s v="Medical"/>
    <n v="1"/>
    <n v="958"/>
    <n v="3"/>
    <s v="Male"/>
    <n v="79"/>
    <n v="3"/>
    <n v="1"/>
    <s v="Laboratory Technician"/>
    <x v="2"/>
    <s v="Single"/>
    <x v="656"/>
    <n v="12287"/>
    <n v="4"/>
    <s v="Y"/>
    <s v="No"/>
    <n v="21"/>
    <n v="4"/>
    <n v="3"/>
    <n v="80"/>
    <n v="0"/>
    <n v="16"/>
    <n v="6"/>
    <n v="3"/>
    <n v="11"/>
    <n v="8"/>
    <n v="3"/>
    <n v="9"/>
    <s v="5+ yrs"/>
  </r>
  <r>
    <n v="19"/>
    <x v="0"/>
    <s v="Travel_Rarely"/>
    <n v="419"/>
    <x v="0"/>
    <n v="21"/>
    <n v="3"/>
    <s v="Other"/>
    <n v="1"/>
    <n v="959"/>
    <n v="4"/>
    <s v="Male"/>
    <n v="37"/>
    <n v="2"/>
    <n v="1"/>
    <s v="Sales Representative"/>
    <x v="1"/>
    <s v="Single"/>
    <x v="657"/>
    <n v="9947"/>
    <n v="1"/>
    <s v="Y"/>
    <s v="Yes"/>
    <n v="13"/>
    <n v="3"/>
    <n v="2"/>
    <n v="80"/>
    <n v="0"/>
    <n v="1"/>
    <n v="3"/>
    <n v="4"/>
    <n v="1"/>
    <n v="0"/>
    <n v="0"/>
    <n v="0"/>
    <s v="0-2 yrs"/>
  </r>
  <r>
    <n v="20"/>
    <x v="0"/>
    <s v="Travel_Rarely"/>
    <n v="129"/>
    <x v="1"/>
    <n v="4"/>
    <n v="3"/>
    <s v="Technical Degree"/>
    <n v="1"/>
    <n v="960"/>
    <n v="1"/>
    <s v="Male"/>
    <n v="84"/>
    <n v="3"/>
    <n v="1"/>
    <s v="Laboratory Technician"/>
    <x v="3"/>
    <s v="Single"/>
    <x v="620"/>
    <n v="13008"/>
    <n v="1"/>
    <s v="Y"/>
    <s v="No"/>
    <n v="19"/>
    <n v="3"/>
    <n v="2"/>
    <n v="80"/>
    <n v="0"/>
    <n v="1"/>
    <n v="2"/>
    <n v="3"/>
    <n v="1"/>
    <n v="0"/>
    <n v="0"/>
    <n v="0"/>
    <s v="0-2 yrs"/>
  </r>
  <r>
    <n v="31"/>
    <x v="1"/>
    <s v="Travel_Rarely"/>
    <n v="616"/>
    <x v="1"/>
    <n v="12"/>
    <n v="3"/>
    <s v="Medical"/>
    <n v="1"/>
    <n v="961"/>
    <n v="4"/>
    <s v="Female"/>
    <n v="41"/>
    <n v="3"/>
    <n v="2"/>
    <s v="Healthcare Representative"/>
    <x v="0"/>
    <s v="Married"/>
    <x v="658"/>
    <n v="17369"/>
    <n v="0"/>
    <s v="Y"/>
    <s v="Yes"/>
    <n v="11"/>
    <n v="3"/>
    <n v="3"/>
    <n v="80"/>
    <n v="2"/>
    <n v="10"/>
    <n v="2"/>
    <n v="1"/>
    <n v="9"/>
    <n v="7"/>
    <n v="8"/>
    <n v="5"/>
    <s v="5+ yrs"/>
  </r>
  <r>
    <n v="40"/>
    <x v="1"/>
    <s v="Travel_Frequently"/>
    <n v="1469"/>
    <x v="1"/>
    <n v="9"/>
    <n v="4"/>
    <s v="Medical"/>
    <n v="1"/>
    <n v="964"/>
    <n v="4"/>
    <s v="Male"/>
    <n v="35"/>
    <n v="3"/>
    <n v="1"/>
    <s v="Research Scientist"/>
    <x v="1"/>
    <s v="Divorced"/>
    <x v="659"/>
    <n v="25063"/>
    <n v="8"/>
    <s v="Y"/>
    <s v="Yes"/>
    <n v="14"/>
    <n v="3"/>
    <n v="4"/>
    <n v="80"/>
    <n v="1"/>
    <n v="3"/>
    <n v="2"/>
    <n v="3"/>
    <n v="1"/>
    <n v="1"/>
    <n v="0"/>
    <n v="0"/>
    <s v="0-2 yrs"/>
  </r>
  <r>
    <n v="32"/>
    <x v="1"/>
    <s v="Travel_Rarely"/>
    <n v="498"/>
    <x v="1"/>
    <n v="3"/>
    <n v="4"/>
    <s v="Medical"/>
    <n v="1"/>
    <n v="966"/>
    <n v="3"/>
    <s v="Female"/>
    <n v="93"/>
    <n v="3"/>
    <n v="2"/>
    <s v="Manufacturing Director"/>
    <x v="3"/>
    <s v="Married"/>
    <x v="660"/>
    <n v="13554"/>
    <n v="1"/>
    <s v="Y"/>
    <s v="No"/>
    <n v="12"/>
    <n v="3"/>
    <n v="3"/>
    <n v="80"/>
    <n v="1"/>
    <n v="8"/>
    <n v="2"/>
    <n v="4"/>
    <n v="8"/>
    <n v="7"/>
    <n v="6"/>
    <n v="3"/>
    <s v="5+ yrs"/>
  </r>
  <r>
    <n v="36"/>
    <x v="0"/>
    <s v="Travel_Rarely"/>
    <n v="530"/>
    <x v="0"/>
    <n v="3"/>
    <n v="1"/>
    <s v="Life Sciences"/>
    <n v="1"/>
    <n v="967"/>
    <n v="3"/>
    <s v="Male"/>
    <n v="51"/>
    <n v="2"/>
    <n v="3"/>
    <s v="Sales Executive"/>
    <x v="0"/>
    <s v="Married"/>
    <x v="661"/>
    <n v="5518"/>
    <n v="1"/>
    <s v="Y"/>
    <s v="Yes"/>
    <n v="11"/>
    <n v="3"/>
    <n v="1"/>
    <n v="80"/>
    <n v="1"/>
    <n v="16"/>
    <n v="6"/>
    <n v="3"/>
    <n v="16"/>
    <n v="7"/>
    <n v="3"/>
    <n v="7"/>
    <s v="5+ yrs"/>
  </r>
  <r>
    <n v="33"/>
    <x v="1"/>
    <s v="Travel_Rarely"/>
    <n v="1069"/>
    <x v="1"/>
    <n v="1"/>
    <n v="3"/>
    <s v="Life Sciences"/>
    <n v="1"/>
    <n v="969"/>
    <n v="2"/>
    <s v="Female"/>
    <n v="42"/>
    <n v="2"/>
    <n v="2"/>
    <s v="Healthcare Representative"/>
    <x v="0"/>
    <s v="Single"/>
    <x v="662"/>
    <n v="12291"/>
    <n v="0"/>
    <s v="Y"/>
    <s v="No"/>
    <n v="14"/>
    <n v="3"/>
    <n v="1"/>
    <n v="80"/>
    <n v="0"/>
    <n v="6"/>
    <n v="3"/>
    <n v="3"/>
    <n v="5"/>
    <n v="0"/>
    <n v="1"/>
    <n v="4"/>
    <s v="3-5 yrs"/>
  </r>
  <r>
    <n v="37"/>
    <x v="0"/>
    <s v="Travel_Rarely"/>
    <n v="625"/>
    <x v="0"/>
    <n v="1"/>
    <n v="4"/>
    <s v="Life Sciences"/>
    <n v="1"/>
    <n v="970"/>
    <n v="1"/>
    <s v="Male"/>
    <n v="46"/>
    <n v="2"/>
    <n v="3"/>
    <s v="Sales Executive"/>
    <x v="2"/>
    <s v="Married"/>
    <x v="219"/>
    <n v="14922"/>
    <n v="5"/>
    <s v="Y"/>
    <s v="No"/>
    <n v="11"/>
    <n v="3"/>
    <n v="3"/>
    <n v="80"/>
    <n v="0"/>
    <n v="17"/>
    <n v="2"/>
    <n v="1"/>
    <n v="14"/>
    <n v="1"/>
    <n v="11"/>
    <n v="7"/>
    <s v="5+ yrs"/>
  </r>
  <r>
    <n v="45"/>
    <x v="1"/>
    <s v="Non-Travel"/>
    <n v="805"/>
    <x v="1"/>
    <n v="4"/>
    <n v="2"/>
    <s v="Life Sciences"/>
    <n v="1"/>
    <n v="972"/>
    <n v="3"/>
    <s v="Male"/>
    <n v="57"/>
    <n v="3"/>
    <n v="2"/>
    <s v="Laboratory Technician"/>
    <x v="1"/>
    <s v="Married"/>
    <x v="663"/>
    <n v="23163"/>
    <n v="1"/>
    <s v="Y"/>
    <s v="No"/>
    <n v="12"/>
    <n v="3"/>
    <n v="2"/>
    <n v="80"/>
    <n v="0"/>
    <n v="9"/>
    <n v="5"/>
    <n v="2"/>
    <n v="9"/>
    <n v="7"/>
    <n v="0"/>
    <n v="8"/>
    <s v="5+ yrs"/>
  </r>
  <r>
    <n v="29"/>
    <x v="1"/>
    <s v="Travel_Frequently"/>
    <n v="1404"/>
    <x v="0"/>
    <n v="20"/>
    <n v="3"/>
    <s v="Technical Degree"/>
    <n v="1"/>
    <n v="974"/>
    <n v="3"/>
    <s v="Female"/>
    <n v="84"/>
    <n v="3"/>
    <n v="1"/>
    <s v="Sales Representative"/>
    <x v="0"/>
    <s v="Married"/>
    <x v="664"/>
    <n v="18203"/>
    <n v="1"/>
    <s v="Y"/>
    <s v="No"/>
    <n v="15"/>
    <n v="3"/>
    <n v="2"/>
    <n v="80"/>
    <n v="1"/>
    <n v="3"/>
    <n v="5"/>
    <n v="3"/>
    <n v="3"/>
    <n v="1"/>
    <n v="0"/>
    <n v="2"/>
    <s v="3-5 yrs"/>
  </r>
  <r>
    <n v="35"/>
    <x v="1"/>
    <s v="Travel_Rarely"/>
    <n v="1219"/>
    <x v="0"/>
    <n v="18"/>
    <n v="3"/>
    <s v="Medical"/>
    <n v="1"/>
    <n v="975"/>
    <n v="3"/>
    <s v="Female"/>
    <n v="86"/>
    <n v="3"/>
    <n v="2"/>
    <s v="Sales Executive"/>
    <x v="2"/>
    <s v="Married"/>
    <x v="665"/>
    <n v="6179"/>
    <n v="1"/>
    <s v="Y"/>
    <s v="No"/>
    <n v="16"/>
    <n v="3"/>
    <n v="2"/>
    <n v="80"/>
    <n v="0"/>
    <n v="5"/>
    <n v="3"/>
    <n v="3"/>
    <n v="5"/>
    <n v="2"/>
    <n v="1"/>
    <n v="0"/>
    <s v="3-5 yrs"/>
  </r>
  <r>
    <n v="52"/>
    <x v="1"/>
    <s v="Travel_Rarely"/>
    <n v="1053"/>
    <x v="1"/>
    <n v="1"/>
    <n v="2"/>
    <s v="Life Sciences"/>
    <n v="1"/>
    <n v="976"/>
    <n v="4"/>
    <s v="Male"/>
    <n v="70"/>
    <n v="3"/>
    <n v="4"/>
    <s v="Manager"/>
    <x v="0"/>
    <s v="Married"/>
    <x v="666"/>
    <n v="13829"/>
    <n v="2"/>
    <s v="Y"/>
    <s v="No"/>
    <n v="15"/>
    <n v="3"/>
    <n v="2"/>
    <n v="80"/>
    <n v="1"/>
    <n v="26"/>
    <n v="2"/>
    <n v="2"/>
    <n v="9"/>
    <n v="8"/>
    <n v="7"/>
    <n v="8"/>
    <s v="5+ yrs"/>
  </r>
  <r>
    <n v="58"/>
    <x v="0"/>
    <s v="Travel_Rarely"/>
    <n v="289"/>
    <x v="1"/>
    <n v="2"/>
    <n v="3"/>
    <s v="Technical Degree"/>
    <n v="1"/>
    <n v="977"/>
    <n v="4"/>
    <s v="Male"/>
    <n v="51"/>
    <n v="3"/>
    <n v="1"/>
    <s v="Research Scientist"/>
    <x v="2"/>
    <s v="Single"/>
    <x v="667"/>
    <n v="26227"/>
    <n v="4"/>
    <s v="Y"/>
    <s v="No"/>
    <n v="24"/>
    <n v="4"/>
    <n v="1"/>
    <n v="80"/>
    <n v="0"/>
    <n v="7"/>
    <n v="4"/>
    <n v="3"/>
    <n v="1"/>
    <n v="0"/>
    <n v="0"/>
    <n v="0"/>
    <s v="0-2 yrs"/>
  </r>
  <r>
    <n v="53"/>
    <x v="1"/>
    <s v="Travel_Rarely"/>
    <n v="1376"/>
    <x v="0"/>
    <n v="2"/>
    <n v="2"/>
    <s v="Medical"/>
    <n v="1"/>
    <n v="981"/>
    <n v="3"/>
    <s v="Male"/>
    <n v="45"/>
    <n v="3"/>
    <n v="4"/>
    <s v="Manager"/>
    <x v="2"/>
    <s v="Divorced"/>
    <x v="668"/>
    <n v="13938"/>
    <n v="6"/>
    <s v="Y"/>
    <s v="No"/>
    <n v="13"/>
    <n v="3"/>
    <n v="3"/>
    <n v="80"/>
    <n v="1"/>
    <n v="22"/>
    <n v="3"/>
    <n v="4"/>
    <n v="17"/>
    <n v="13"/>
    <n v="15"/>
    <n v="2"/>
    <s v="5+ yrs"/>
  </r>
  <r>
    <n v="30"/>
    <x v="1"/>
    <s v="Travel_Rarely"/>
    <n v="231"/>
    <x v="0"/>
    <n v="8"/>
    <n v="2"/>
    <s v="Other"/>
    <n v="1"/>
    <n v="982"/>
    <n v="3"/>
    <s v="Male"/>
    <n v="62"/>
    <n v="3"/>
    <n v="3"/>
    <s v="Sales Executive"/>
    <x v="2"/>
    <s v="Divorced"/>
    <x v="669"/>
    <n v="9977"/>
    <n v="5"/>
    <s v="Y"/>
    <s v="No"/>
    <n v="11"/>
    <n v="3"/>
    <n v="1"/>
    <n v="80"/>
    <n v="1"/>
    <n v="10"/>
    <n v="2"/>
    <n v="4"/>
    <n v="8"/>
    <n v="4"/>
    <n v="7"/>
    <n v="7"/>
    <s v="5+ yrs"/>
  </r>
  <r>
    <n v="38"/>
    <x v="1"/>
    <s v="Non-Travel"/>
    <n v="152"/>
    <x v="0"/>
    <n v="10"/>
    <n v="3"/>
    <s v="Technical Degree"/>
    <n v="1"/>
    <n v="983"/>
    <n v="3"/>
    <s v="Female"/>
    <n v="85"/>
    <n v="3"/>
    <n v="2"/>
    <s v="Sales Executive"/>
    <x v="0"/>
    <s v="Single"/>
    <x v="670"/>
    <n v="19899"/>
    <n v="1"/>
    <s v="Y"/>
    <s v="Yes"/>
    <n v="13"/>
    <n v="3"/>
    <n v="2"/>
    <n v="80"/>
    <n v="0"/>
    <n v="6"/>
    <n v="1"/>
    <n v="3"/>
    <n v="5"/>
    <n v="3"/>
    <n v="1"/>
    <n v="3"/>
    <s v="3-5 yrs"/>
  </r>
  <r>
    <n v="35"/>
    <x v="1"/>
    <s v="Travel_Rarely"/>
    <n v="882"/>
    <x v="0"/>
    <n v="3"/>
    <n v="4"/>
    <s v="Life Sciences"/>
    <n v="1"/>
    <n v="984"/>
    <n v="4"/>
    <s v="Male"/>
    <n v="92"/>
    <n v="3"/>
    <n v="3"/>
    <s v="Sales Executive"/>
    <x v="0"/>
    <s v="Divorced"/>
    <x v="671"/>
    <n v="6812"/>
    <n v="6"/>
    <s v="Y"/>
    <s v="No"/>
    <n v="13"/>
    <n v="3"/>
    <n v="2"/>
    <n v="80"/>
    <n v="1"/>
    <n v="12"/>
    <n v="2"/>
    <n v="3"/>
    <n v="10"/>
    <n v="9"/>
    <n v="0"/>
    <n v="8"/>
    <s v="5+ yrs"/>
  </r>
  <r>
    <n v="39"/>
    <x v="1"/>
    <s v="Travel_Rarely"/>
    <n v="903"/>
    <x v="0"/>
    <n v="2"/>
    <n v="5"/>
    <s v="Life Sciences"/>
    <n v="1"/>
    <n v="985"/>
    <n v="1"/>
    <s v="Male"/>
    <n v="41"/>
    <n v="4"/>
    <n v="3"/>
    <s v="Sales Executive"/>
    <x v="2"/>
    <s v="Single"/>
    <x v="672"/>
    <n v="2560"/>
    <n v="0"/>
    <s v="Y"/>
    <s v="No"/>
    <n v="18"/>
    <n v="3"/>
    <n v="4"/>
    <n v="80"/>
    <n v="0"/>
    <n v="9"/>
    <n v="3"/>
    <n v="3"/>
    <n v="8"/>
    <n v="7"/>
    <n v="0"/>
    <n v="7"/>
    <s v="5+ yrs"/>
  </r>
  <r>
    <n v="40"/>
    <x v="0"/>
    <s v="Non-Travel"/>
    <n v="1479"/>
    <x v="0"/>
    <n v="24"/>
    <n v="3"/>
    <s v="Life Sciences"/>
    <n v="1"/>
    <n v="986"/>
    <n v="2"/>
    <s v="Female"/>
    <n v="100"/>
    <n v="4"/>
    <n v="4"/>
    <s v="Sales Executive"/>
    <x v="1"/>
    <s v="Single"/>
    <x v="673"/>
    <n v="17071"/>
    <n v="4"/>
    <s v="Y"/>
    <s v="Yes"/>
    <n v="16"/>
    <n v="3"/>
    <n v="4"/>
    <n v="80"/>
    <n v="0"/>
    <n v="22"/>
    <n v="2"/>
    <n v="2"/>
    <n v="1"/>
    <n v="0"/>
    <n v="0"/>
    <n v="0"/>
    <s v="0-2 yrs"/>
  </r>
  <r>
    <n v="47"/>
    <x v="1"/>
    <s v="Travel_Frequently"/>
    <n v="1379"/>
    <x v="1"/>
    <n v="16"/>
    <n v="4"/>
    <s v="Medical"/>
    <n v="1"/>
    <n v="987"/>
    <n v="3"/>
    <s v="Male"/>
    <n v="64"/>
    <n v="4"/>
    <n v="2"/>
    <s v="Manufacturing Director"/>
    <x v="2"/>
    <s v="Divorced"/>
    <x v="674"/>
    <n v="6759"/>
    <n v="1"/>
    <s v="Y"/>
    <s v="Yes"/>
    <n v="19"/>
    <n v="3"/>
    <n v="3"/>
    <n v="80"/>
    <n v="0"/>
    <n v="20"/>
    <n v="3"/>
    <n v="4"/>
    <n v="19"/>
    <n v="10"/>
    <n v="2"/>
    <n v="7"/>
    <s v="5+ yrs"/>
  </r>
  <r>
    <n v="36"/>
    <x v="1"/>
    <s v="Non-Travel"/>
    <n v="1229"/>
    <x v="0"/>
    <n v="8"/>
    <n v="4"/>
    <s v="Technical Degree"/>
    <n v="1"/>
    <n v="990"/>
    <n v="1"/>
    <s v="Male"/>
    <n v="84"/>
    <n v="3"/>
    <n v="2"/>
    <s v="Sales Executive"/>
    <x v="0"/>
    <s v="Divorced"/>
    <x v="675"/>
    <n v="25952"/>
    <n v="4"/>
    <s v="Y"/>
    <s v="No"/>
    <n v="13"/>
    <n v="3"/>
    <n v="4"/>
    <n v="80"/>
    <n v="2"/>
    <n v="12"/>
    <n v="3"/>
    <n v="3"/>
    <n v="7"/>
    <n v="7"/>
    <n v="0"/>
    <n v="7"/>
    <s v="5+ yrs"/>
  </r>
  <r>
    <n v="31"/>
    <x v="0"/>
    <s v="Non-Travel"/>
    <n v="335"/>
    <x v="1"/>
    <n v="9"/>
    <n v="2"/>
    <s v="Medical"/>
    <n v="1"/>
    <n v="991"/>
    <n v="3"/>
    <s v="Male"/>
    <n v="46"/>
    <n v="2"/>
    <n v="1"/>
    <s v="Research Scientist"/>
    <x v="3"/>
    <s v="Single"/>
    <x v="676"/>
    <n v="10322"/>
    <n v="0"/>
    <s v="Y"/>
    <s v="Yes"/>
    <n v="22"/>
    <n v="4"/>
    <n v="1"/>
    <n v="80"/>
    <n v="0"/>
    <n v="4"/>
    <n v="0"/>
    <n v="3"/>
    <n v="3"/>
    <n v="2"/>
    <n v="1"/>
    <n v="2"/>
    <s v="3-5 yrs"/>
  </r>
  <r>
    <n v="33"/>
    <x v="1"/>
    <s v="Non-Travel"/>
    <n v="722"/>
    <x v="0"/>
    <n v="17"/>
    <n v="3"/>
    <s v="Life Sciences"/>
    <n v="1"/>
    <n v="992"/>
    <n v="4"/>
    <s v="Male"/>
    <n v="38"/>
    <n v="3"/>
    <n v="4"/>
    <s v="Manager"/>
    <x v="2"/>
    <s v="Single"/>
    <x v="677"/>
    <n v="20489"/>
    <n v="1"/>
    <s v="Y"/>
    <s v="No"/>
    <n v="11"/>
    <n v="3"/>
    <n v="4"/>
    <n v="80"/>
    <n v="0"/>
    <n v="10"/>
    <n v="2"/>
    <n v="3"/>
    <n v="10"/>
    <n v="8"/>
    <n v="6"/>
    <n v="0"/>
    <s v="5+ yrs"/>
  </r>
  <r>
    <n v="29"/>
    <x v="0"/>
    <s v="Travel_Rarely"/>
    <n v="906"/>
    <x v="1"/>
    <n v="10"/>
    <n v="3"/>
    <s v="Life Sciences"/>
    <n v="1"/>
    <n v="994"/>
    <n v="4"/>
    <s v="Female"/>
    <n v="92"/>
    <n v="2"/>
    <n v="1"/>
    <s v="Research Scientist"/>
    <x v="3"/>
    <s v="Single"/>
    <x v="639"/>
    <n v="11479"/>
    <n v="6"/>
    <s v="Y"/>
    <s v="Yes"/>
    <n v="20"/>
    <n v="4"/>
    <n v="3"/>
    <n v="80"/>
    <n v="0"/>
    <n v="3"/>
    <n v="5"/>
    <n v="3"/>
    <n v="0"/>
    <n v="0"/>
    <n v="0"/>
    <n v="0"/>
    <s v="0-2 yrs"/>
  </r>
  <r>
    <n v="33"/>
    <x v="1"/>
    <s v="Travel_Rarely"/>
    <n v="461"/>
    <x v="1"/>
    <n v="13"/>
    <n v="1"/>
    <s v="Life Sciences"/>
    <n v="1"/>
    <n v="995"/>
    <n v="2"/>
    <s v="Female"/>
    <n v="53"/>
    <n v="3"/>
    <n v="1"/>
    <s v="Research Scientist"/>
    <x v="0"/>
    <s v="Single"/>
    <x v="138"/>
    <n v="17241"/>
    <n v="3"/>
    <s v="Y"/>
    <s v="No"/>
    <n v="18"/>
    <n v="3"/>
    <n v="1"/>
    <n v="80"/>
    <n v="0"/>
    <n v="5"/>
    <n v="4"/>
    <n v="3"/>
    <n v="3"/>
    <n v="2"/>
    <n v="0"/>
    <n v="2"/>
    <s v="3-5 yrs"/>
  </r>
  <r>
    <n v="45"/>
    <x v="1"/>
    <s v="Travel_Rarely"/>
    <n v="974"/>
    <x v="1"/>
    <n v="1"/>
    <n v="4"/>
    <s v="Medical"/>
    <n v="1"/>
    <n v="996"/>
    <n v="4"/>
    <s v="Female"/>
    <n v="91"/>
    <n v="3"/>
    <n v="1"/>
    <s v="Laboratory Technician"/>
    <x v="0"/>
    <s v="Divorced"/>
    <x v="678"/>
    <n v="11005"/>
    <n v="3"/>
    <s v="Y"/>
    <s v="No"/>
    <n v="14"/>
    <n v="3"/>
    <n v="4"/>
    <n v="80"/>
    <n v="2"/>
    <n v="8"/>
    <n v="2"/>
    <n v="3"/>
    <n v="5"/>
    <n v="3"/>
    <n v="0"/>
    <n v="2"/>
    <s v="3-5 yrs"/>
  </r>
  <r>
    <n v="50"/>
    <x v="1"/>
    <s v="Travel_Rarely"/>
    <n v="1126"/>
    <x v="1"/>
    <n v="1"/>
    <n v="2"/>
    <s v="Medical"/>
    <n v="1"/>
    <n v="997"/>
    <n v="4"/>
    <s v="Male"/>
    <n v="66"/>
    <n v="3"/>
    <n v="4"/>
    <s v="Research Director"/>
    <x v="0"/>
    <s v="Divorced"/>
    <x v="679"/>
    <n v="6615"/>
    <n v="9"/>
    <s v="Y"/>
    <s v="No"/>
    <n v="22"/>
    <n v="4"/>
    <n v="3"/>
    <n v="80"/>
    <n v="1"/>
    <n v="32"/>
    <n v="1"/>
    <n v="2"/>
    <n v="5"/>
    <n v="4"/>
    <n v="1"/>
    <n v="3"/>
    <s v="3-5 yrs"/>
  </r>
  <r>
    <n v="33"/>
    <x v="1"/>
    <s v="Travel_Frequently"/>
    <n v="827"/>
    <x v="1"/>
    <n v="1"/>
    <n v="4"/>
    <s v="Other"/>
    <n v="1"/>
    <n v="998"/>
    <n v="3"/>
    <s v="Female"/>
    <n v="84"/>
    <n v="4"/>
    <n v="2"/>
    <s v="Healthcare Representative"/>
    <x v="1"/>
    <s v="Married"/>
    <x v="680"/>
    <n v="20161"/>
    <n v="1"/>
    <s v="Y"/>
    <s v="Yes"/>
    <n v="13"/>
    <n v="3"/>
    <n v="1"/>
    <n v="80"/>
    <n v="1"/>
    <n v="6"/>
    <n v="2"/>
    <n v="3"/>
    <n v="6"/>
    <n v="5"/>
    <n v="1"/>
    <n v="2"/>
    <s v="5+ yrs"/>
  </r>
  <r>
    <n v="41"/>
    <x v="1"/>
    <s v="Travel_Frequently"/>
    <n v="840"/>
    <x v="1"/>
    <n v="9"/>
    <n v="3"/>
    <s v="Medical"/>
    <n v="1"/>
    <n v="999"/>
    <n v="1"/>
    <s v="Male"/>
    <n v="64"/>
    <n v="3"/>
    <n v="5"/>
    <s v="Research Director"/>
    <x v="2"/>
    <s v="Divorced"/>
    <x v="681"/>
    <n v="3735"/>
    <n v="2"/>
    <s v="Y"/>
    <s v="No"/>
    <n v="17"/>
    <n v="3"/>
    <n v="2"/>
    <n v="80"/>
    <n v="1"/>
    <n v="21"/>
    <n v="2"/>
    <n v="4"/>
    <n v="18"/>
    <n v="16"/>
    <n v="0"/>
    <n v="11"/>
    <s v="5+ yrs"/>
  </r>
  <r>
    <n v="27"/>
    <x v="1"/>
    <s v="Travel_Rarely"/>
    <n v="1134"/>
    <x v="1"/>
    <n v="16"/>
    <n v="4"/>
    <s v="Technical Degree"/>
    <n v="1"/>
    <n v="1001"/>
    <n v="3"/>
    <s v="Female"/>
    <n v="37"/>
    <n v="3"/>
    <n v="1"/>
    <s v="Laboratory Technician"/>
    <x v="1"/>
    <s v="Married"/>
    <x v="682"/>
    <n v="12086"/>
    <n v="9"/>
    <s v="Y"/>
    <s v="No"/>
    <n v="14"/>
    <n v="3"/>
    <n v="2"/>
    <n v="80"/>
    <n v="1"/>
    <n v="4"/>
    <n v="2"/>
    <n v="3"/>
    <n v="2"/>
    <n v="2"/>
    <n v="2"/>
    <n v="2"/>
    <s v="0-2 yrs"/>
  </r>
  <r>
    <n v="45"/>
    <x v="1"/>
    <s v="Non-Travel"/>
    <n v="248"/>
    <x v="1"/>
    <n v="23"/>
    <n v="2"/>
    <s v="Life Sciences"/>
    <n v="1"/>
    <n v="1002"/>
    <n v="4"/>
    <s v="Male"/>
    <n v="42"/>
    <n v="3"/>
    <n v="2"/>
    <s v="Laboratory Technician"/>
    <x v="3"/>
    <s v="Married"/>
    <x v="683"/>
    <n v="14039"/>
    <n v="1"/>
    <s v="Y"/>
    <s v="Yes"/>
    <n v="15"/>
    <n v="3"/>
    <n v="3"/>
    <n v="80"/>
    <n v="1"/>
    <n v="9"/>
    <n v="2"/>
    <n v="3"/>
    <n v="9"/>
    <n v="8"/>
    <n v="0"/>
    <n v="8"/>
    <s v="5+ yrs"/>
  </r>
  <r>
    <n v="47"/>
    <x v="1"/>
    <s v="Travel_Rarely"/>
    <n v="955"/>
    <x v="0"/>
    <n v="4"/>
    <n v="2"/>
    <s v="Life Sciences"/>
    <n v="1"/>
    <n v="1003"/>
    <n v="4"/>
    <s v="Female"/>
    <n v="83"/>
    <n v="3"/>
    <n v="2"/>
    <s v="Sales Executive"/>
    <x v="0"/>
    <s v="Single"/>
    <x v="684"/>
    <n v="8571"/>
    <n v="1"/>
    <s v="Y"/>
    <s v="Yes"/>
    <n v="17"/>
    <n v="3"/>
    <n v="3"/>
    <n v="80"/>
    <n v="0"/>
    <n v="9"/>
    <n v="0"/>
    <n v="3"/>
    <n v="9"/>
    <n v="0"/>
    <n v="0"/>
    <n v="7"/>
    <s v="5+ yrs"/>
  </r>
  <r>
    <n v="30"/>
    <x v="0"/>
    <s v="Travel_Rarely"/>
    <n v="138"/>
    <x v="1"/>
    <n v="22"/>
    <n v="3"/>
    <s v="Life Sciences"/>
    <n v="1"/>
    <n v="1004"/>
    <n v="1"/>
    <s v="Female"/>
    <n v="48"/>
    <n v="3"/>
    <n v="1"/>
    <s v="Research Scientist"/>
    <x v="2"/>
    <s v="Married"/>
    <x v="685"/>
    <n v="11539"/>
    <n v="4"/>
    <s v="Y"/>
    <s v="Yes"/>
    <n v="11"/>
    <n v="3"/>
    <n v="2"/>
    <n v="80"/>
    <n v="0"/>
    <n v="7"/>
    <n v="2"/>
    <n v="3"/>
    <n v="5"/>
    <n v="2"/>
    <n v="0"/>
    <n v="1"/>
    <s v="3-5 yrs"/>
  </r>
  <r>
    <n v="50"/>
    <x v="1"/>
    <s v="Travel_Rarely"/>
    <n v="939"/>
    <x v="1"/>
    <n v="24"/>
    <n v="3"/>
    <s v="Life Sciences"/>
    <n v="1"/>
    <n v="1005"/>
    <n v="4"/>
    <s v="Male"/>
    <n v="95"/>
    <n v="3"/>
    <n v="4"/>
    <s v="Manufacturing Director"/>
    <x v="2"/>
    <s v="Married"/>
    <x v="686"/>
    <n v="4161"/>
    <n v="3"/>
    <s v="Y"/>
    <s v="Yes"/>
    <n v="18"/>
    <n v="3"/>
    <n v="4"/>
    <n v="80"/>
    <n v="1"/>
    <n v="22"/>
    <n v="2"/>
    <n v="3"/>
    <n v="12"/>
    <n v="11"/>
    <n v="1"/>
    <n v="5"/>
    <s v="5+ yrs"/>
  </r>
  <r>
    <n v="38"/>
    <x v="1"/>
    <s v="Travel_Frequently"/>
    <n v="1391"/>
    <x v="1"/>
    <n v="10"/>
    <n v="1"/>
    <s v="Medical"/>
    <n v="1"/>
    <n v="1006"/>
    <n v="3"/>
    <s v="Male"/>
    <n v="66"/>
    <n v="3"/>
    <n v="1"/>
    <s v="Research Scientist"/>
    <x v="2"/>
    <s v="Married"/>
    <x v="687"/>
    <n v="12127"/>
    <n v="0"/>
    <s v="Y"/>
    <s v="No"/>
    <n v="17"/>
    <n v="3"/>
    <n v="2"/>
    <n v="80"/>
    <n v="1"/>
    <n v="3"/>
    <n v="0"/>
    <n v="2"/>
    <n v="2"/>
    <n v="1"/>
    <n v="0"/>
    <n v="2"/>
    <s v="0-2 yrs"/>
  </r>
  <r>
    <n v="46"/>
    <x v="1"/>
    <s v="Travel_Rarely"/>
    <n v="566"/>
    <x v="1"/>
    <n v="7"/>
    <n v="2"/>
    <s v="Medical"/>
    <n v="1"/>
    <n v="1007"/>
    <n v="4"/>
    <s v="Male"/>
    <n v="75"/>
    <n v="3"/>
    <n v="3"/>
    <s v="Manufacturing Director"/>
    <x v="2"/>
    <s v="Divorced"/>
    <x v="688"/>
    <n v="24208"/>
    <n v="6"/>
    <s v="Y"/>
    <s v="No"/>
    <n v="13"/>
    <n v="3"/>
    <n v="2"/>
    <n v="80"/>
    <n v="1"/>
    <n v="13"/>
    <n v="3"/>
    <n v="3"/>
    <n v="8"/>
    <n v="7"/>
    <n v="0"/>
    <n v="7"/>
    <s v="5+ yrs"/>
  </r>
  <r>
    <n v="24"/>
    <x v="1"/>
    <s v="Travel_Rarely"/>
    <n v="1206"/>
    <x v="1"/>
    <n v="17"/>
    <n v="1"/>
    <s v="Medical"/>
    <n v="1"/>
    <n v="1009"/>
    <n v="4"/>
    <s v="Female"/>
    <n v="41"/>
    <n v="2"/>
    <n v="2"/>
    <s v="Manufacturing Director"/>
    <x v="2"/>
    <s v="Divorced"/>
    <x v="689"/>
    <n v="24117"/>
    <n v="1"/>
    <s v="Y"/>
    <s v="No"/>
    <n v="15"/>
    <n v="3"/>
    <n v="2"/>
    <n v="80"/>
    <n v="2"/>
    <n v="5"/>
    <n v="6"/>
    <n v="3"/>
    <n v="4"/>
    <n v="2"/>
    <n v="3"/>
    <n v="2"/>
    <s v="3-5 yrs"/>
  </r>
  <r>
    <n v="35"/>
    <x v="0"/>
    <s v="Travel_Rarely"/>
    <n v="622"/>
    <x v="1"/>
    <n v="14"/>
    <n v="4"/>
    <s v="Other"/>
    <n v="1"/>
    <n v="1010"/>
    <n v="3"/>
    <s v="Male"/>
    <n v="39"/>
    <n v="2"/>
    <n v="1"/>
    <s v="Laboratory Technician"/>
    <x v="1"/>
    <s v="Divorced"/>
    <x v="690"/>
    <n v="10074"/>
    <n v="1"/>
    <s v="Y"/>
    <s v="Yes"/>
    <n v="24"/>
    <n v="4"/>
    <n v="4"/>
    <n v="80"/>
    <n v="1"/>
    <n v="5"/>
    <n v="2"/>
    <n v="1"/>
    <n v="4"/>
    <n v="2"/>
    <n v="0"/>
    <n v="2"/>
    <s v="3-5 yrs"/>
  </r>
  <r>
    <n v="31"/>
    <x v="1"/>
    <s v="Travel_Frequently"/>
    <n v="853"/>
    <x v="1"/>
    <n v="1"/>
    <n v="1"/>
    <s v="Life Sciences"/>
    <n v="1"/>
    <n v="1011"/>
    <n v="3"/>
    <s v="Female"/>
    <n v="96"/>
    <n v="3"/>
    <n v="2"/>
    <s v="Manufacturing Director"/>
    <x v="3"/>
    <s v="Married"/>
    <x v="691"/>
    <n v="11275"/>
    <n v="1"/>
    <s v="Y"/>
    <s v="No"/>
    <n v="12"/>
    <n v="3"/>
    <n v="3"/>
    <n v="80"/>
    <n v="1"/>
    <n v="4"/>
    <n v="1"/>
    <n v="3"/>
    <n v="4"/>
    <n v="3"/>
    <n v="0"/>
    <n v="3"/>
    <s v="3-5 yrs"/>
  </r>
  <r>
    <n v="18"/>
    <x v="1"/>
    <s v="Non-Travel"/>
    <n v="287"/>
    <x v="1"/>
    <n v="5"/>
    <n v="2"/>
    <s v="Life Sciences"/>
    <n v="1"/>
    <n v="1012"/>
    <n v="2"/>
    <s v="Male"/>
    <n v="73"/>
    <n v="3"/>
    <n v="1"/>
    <s v="Research Scientist"/>
    <x v="0"/>
    <s v="Single"/>
    <x v="692"/>
    <n v="13493"/>
    <n v="1"/>
    <s v="Y"/>
    <s v="No"/>
    <n v="15"/>
    <n v="3"/>
    <n v="4"/>
    <n v="80"/>
    <n v="0"/>
    <n v="0"/>
    <n v="2"/>
    <n v="3"/>
    <n v="0"/>
    <n v="0"/>
    <n v="0"/>
    <n v="0"/>
    <s v="0-2 yrs"/>
  </r>
  <r>
    <n v="54"/>
    <x v="1"/>
    <s v="Travel_Rarely"/>
    <n v="1441"/>
    <x v="1"/>
    <n v="17"/>
    <n v="3"/>
    <s v="Technical Degree"/>
    <n v="1"/>
    <n v="1013"/>
    <n v="3"/>
    <s v="Female"/>
    <n v="56"/>
    <n v="3"/>
    <n v="3"/>
    <s v="Manufacturing Director"/>
    <x v="2"/>
    <s v="Married"/>
    <x v="693"/>
    <n v="13943"/>
    <n v="8"/>
    <s v="Y"/>
    <s v="No"/>
    <n v="11"/>
    <n v="3"/>
    <n v="3"/>
    <n v="80"/>
    <n v="1"/>
    <n v="22"/>
    <n v="2"/>
    <n v="3"/>
    <n v="10"/>
    <n v="7"/>
    <n v="0"/>
    <n v="8"/>
    <s v="5+ yrs"/>
  </r>
  <r>
    <n v="35"/>
    <x v="1"/>
    <s v="Travel_Rarely"/>
    <n v="583"/>
    <x v="1"/>
    <n v="25"/>
    <n v="4"/>
    <s v="Medical"/>
    <n v="1"/>
    <n v="1014"/>
    <n v="3"/>
    <s v="Female"/>
    <n v="57"/>
    <n v="3"/>
    <n v="3"/>
    <s v="Healthcare Representative"/>
    <x v="2"/>
    <s v="Divorced"/>
    <x v="694"/>
    <n v="6975"/>
    <n v="1"/>
    <s v="Y"/>
    <s v="Yes"/>
    <n v="11"/>
    <n v="3"/>
    <n v="3"/>
    <n v="80"/>
    <n v="1"/>
    <n v="16"/>
    <n v="3"/>
    <n v="2"/>
    <n v="16"/>
    <n v="10"/>
    <n v="10"/>
    <n v="1"/>
    <s v="5+ yrs"/>
  </r>
  <r>
    <n v="30"/>
    <x v="1"/>
    <s v="Travel_Rarely"/>
    <n v="153"/>
    <x v="1"/>
    <n v="8"/>
    <n v="2"/>
    <s v="Life Sciences"/>
    <n v="1"/>
    <n v="1015"/>
    <n v="2"/>
    <s v="Female"/>
    <n v="73"/>
    <n v="4"/>
    <n v="3"/>
    <s v="Research Director"/>
    <x v="3"/>
    <s v="Married"/>
    <x v="695"/>
    <n v="17802"/>
    <n v="0"/>
    <s v="Y"/>
    <s v="Yes"/>
    <n v="12"/>
    <n v="3"/>
    <n v="3"/>
    <n v="80"/>
    <n v="3"/>
    <n v="9"/>
    <n v="4"/>
    <n v="2"/>
    <n v="8"/>
    <n v="7"/>
    <n v="1"/>
    <n v="7"/>
    <s v="5+ yrs"/>
  </r>
  <r>
    <n v="20"/>
    <x v="0"/>
    <s v="Travel_Rarely"/>
    <n v="1097"/>
    <x v="1"/>
    <n v="11"/>
    <n v="3"/>
    <s v="Medical"/>
    <n v="1"/>
    <n v="1016"/>
    <n v="4"/>
    <s v="Female"/>
    <n v="98"/>
    <n v="2"/>
    <n v="1"/>
    <s v="Research Scientist"/>
    <x v="3"/>
    <s v="Single"/>
    <x v="696"/>
    <n v="18275"/>
    <n v="1"/>
    <s v="Y"/>
    <s v="Yes"/>
    <n v="15"/>
    <n v="3"/>
    <n v="1"/>
    <n v="80"/>
    <n v="0"/>
    <n v="1"/>
    <n v="2"/>
    <n v="3"/>
    <n v="1"/>
    <n v="0"/>
    <n v="0"/>
    <n v="0"/>
    <s v="0-2 yrs"/>
  </r>
  <r>
    <n v="30"/>
    <x v="0"/>
    <s v="Travel_Frequently"/>
    <n v="109"/>
    <x v="1"/>
    <n v="5"/>
    <n v="3"/>
    <s v="Medical"/>
    <n v="1"/>
    <n v="1017"/>
    <n v="2"/>
    <s v="Female"/>
    <n v="60"/>
    <n v="3"/>
    <n v="1"/>
    <s v="Laboratory Technician"/>
    <x v="1"/>
    <s v="Single"/>
    <x v="697"/>
    <n v="25725"/>
    <n v="0"/>
    <s v="Y"/>
    <s v="No"/>
    <n v="17"/>
    <n v="3"/>
    <n v="1"/>
    <n v="80"/>
    <n v="0"/>
    <n v="4"/>
    <n v="3"/>
    <n v="3"/>
    <n v="3"/>
    <n v="2"/>
    <n v="1"/>
    <n v="2"/>
    <s v="3-5 yrs"/>
  </r>
  <r>
    <n v="26"/>
    <x v="1"/>
    <s v="Travel_Rarely"/>
    <n v="1066"/>
    <x v="1"/>
    <n v="2"/>
    <n v="2"/>
    <s v="Medical"/>
    <n v="1"/>
    <n v="1018"/>
    <n v="4"/>
    <s v="Male"/>
    <n v="32"/>
    <n v="4"/>
    <n v="2"/>
    <s v="Manufacturing Director"/>
    <x v="0"/>
    <s v="Married"/>
    <x v="698"/>
    <n v="3334"/>
    <n v="1"/>
    <s v="Y"/>
    <s v="No"/>
    <n v="12"/>
    <n v="3"/>
    <n v="2"/>
    <n v="80"/>
    <n v="0"/>
    <n v="8"/>
    <n v="2"/>
    <n v="3"/>
    <n v="8"/>
    <n v="7"/>
    <n v="1"/>
    <n v="3"/>
    <s v="5+ yrs"/>
  </r>
  <r>
    <n v="22"/>
    <x v="1"/>
    <s v="Travel_Rarely"/>
    <n v="217"/>
    <x v="1"/>
    <n v="8"/>
    <n v="1"/>
    <s v="Life Sciences"/>
    <n v="1"/>
    <n v="1019"/>
    <n v="2"/>
    <s v="Male"/>
    <n v="94"/>
    <n v="1"/>
    <n v="1"/>
    <s v="Laboratory Technician"/>
    <x v="3"/>
    <s v="Married"/>
    <x v="163"/>
    <n v="6881"/>
    <n v="1"/>
    <s v="Y"/>
    <s v="No"/>
    <n v="15"/>
    <n v="3"/>
    <n v="1"/>
    <n v="80"/>
    <n v="1"/>
    <n v="4"/>
    <n v="3"/>
    <n v="2"/>
    <n v="4"/>
    <n v="3"/>
    <n v="1"/>
    <n v="1"/>
    <s v="3-5 yrs"/>
  </r>
  <r>
    <n v="48"/>
    <x v="1"/>
    <s v="Travel_Rarely"/>
    <n v="277"/>
    <x v="1"/>
    <n v="6"/>
    <n v="3"/>
    <s v="Life Sciences"/>
    <n v="1"/>
    <n v="1022"/>
    <n v="1"/>
    <s v="Male"/>
    <n v="97"/>
    <n v="2"/>
    <n v="2"/>
    <s v="Healthcare Representative"/>
    <x v="2"/>
    <s v="Single"/>
    <x v="699"/>
    <n v="13119"/>
    <n v="2"/>
    <s v="Y"/>
    <s v="No"/>
    <n v="13"/>
    <n v="3"/>
    <n v="4"/>
    <n v="80"/>
    <n v="0"/>
    <n v="19"/>
    <n v="0"/>
    <n v="3"/>
    <n v="2"/>
    <n v="2"/>
    <n v="2"/>
    <n v="2"/>
    <s v="0-2 yrs"/>
  </r>
  <r>
    <n v="48"/>
    <x v="1"/>
    <s v="Travel_Rarely"/>
    <n v="1355"/>
    <x v="1"/>
    <n v="4"/>
    <n v="4"/>
    <s v="Life Sciences"/>
    <n v="1"/>
    <n v="1024"/>
    <n v="3"/>
    <s v="Male"/>
    <n v="78"/>
    <n v="2"/>
    <n v="3"/>
    <s v="Healthcare Representative"/>
    <x v="2"/>
    <s v="Single"/>
    <x v="700"/>
    <n v="22245"/>
    <n v="7"/>
    <s v="Y"/>
    <s v="No"/>
    <n v="14"/>
    <n v="3"/>
    <n v="2"/>
    <n v="80"/>
    <n v="0"/>
    <n v="27"/>
    <n v="3"/>
    <n v="3"/>
    <n v="15"/>
    <n v="11"/>
    <n v="4"/>
    <n v="8"/>
    <s v="5+ yrs"/>
  </r>
  <r>
    <n v="41"/>
    <x v="1"/>
    <s v="Travel_Rarely"/>
    <n v="549"/>
    <x v="1"/>
    <n v="7"/>
    <n v="2"/>
    <s v="Medical"/>
    <n v="1"/>
    <n v="1025"/>
    <n v="4"/>
    <s v="Female"/>
    <n v="42"/>
    <n v="3"/>
    <n v="2"/>
    <s v="Manufacturing Director"/>
    <x v="2"/>
    <s v="Single"/>
    <x v="701"/>
    <n v="23371"/>
    <n v="6"/>
    <s v="Y"/>
    <s v="No"/>
    <n v="14"/>
    <n v="3"/>
    <n v="2"/>
    <n v="80"/>
    <n v="0"/>
    <n v="8"/>
    <n v="6"/>
    <n v="3"/>
    <n v="2"/>
    <n v="2"/>
    <n v="2"/>
    <n v="1"/>
    <s v="0-2 yrs"/>
  </r>
  <r>
    <n v="39"/>
    <x v="1"/>
    <s v="Travel_Rarely"/>
    <n v="466"/>
    <x v="1"/>
    <n v="1"/>
    <n v="1"/>
    <s v="Life Sciences"/>
    <n v="1"/>
    <n v="1026"/>
    <n v="4"/>
    <s v="Female"/>
    <n v="65"/>
    <n v="2"/>
    <n v="4"/>
    <s v="Manufacturing Director"/>
    <x v="0"/>
    <s v="Married"/>
    <x v="702"/>
    <n v="7060"/>
    <n v="1"/>
    <s v="Y"/>
    <s v="No"/>
    <n v="16"/>
    <n v="3"/>
    <n v="3"/>
    <n v="80"/>
    <n v="1"/>
    <n v="21"/>
    <n v="3"/>
    <n v="3"/>
    <n v="21"/>
    <n v="6"/>
    <n v="11"/>
    <n v="8"/>
    <s v="5+ yrs"/>
  </r>
  <r>
    <n v="27"/>
    <x v="1"/>
    <s v="Travel_Rarely"/>
    <n v="1055"/>
    <x v="1"/>
    <n v="2"/>
    <n v="4"/>
    <s v="Life Sciences"/>
    <n v="1"/>
    <n v="1027"/>
    <n v="1"/>
    <s v="Female"/>
    <n v="47"/>
    <n v="3"/>
    <n v="2"/>
    <s v="Manufacturing Director"/>
    <x v="0"/>
    <s v="Married"/>
    <x v="703"/>
    <n v="4658"/>
    <n v="0"/>
    <s v="Y"/>
    <s v="No"/>
    <n v="18"/>
    <n v="3"/>
    <n v="2"/>
    <n v="80"/>
    <n v="1"/>
    <n v="4"/>
    <n v="2"/>
    <n v="3"/>
    <n v="3"/>
    <n v="2"/>
    <n v="2"/>
    <n v="2"/>
    <s v="3-5 yrs"/>
  </r>
  <r>
    <n v="35"/>
    <x v="1"/>
    <s v="Travel_Rarely"/>
    <n v="802"/>
    <x v="1"/>
    <n v="10"/>
    <n v="3"/>
    <s v="Other"/>
    <n v="1"/>
    <n v="1028"/>
    <n v="2"/>
    <s v="Male"/>
    <n v="45"/>
    <n v="3"/>
    <n v="1"/>
    <s v="Laboratory Technician"/>
    <x v="0"/>
    <s v="Divorced"/>
    <x v="704"/>
    <n v="9541"/>
    <n v="1"/>
    <s v="Y"/>
    <s v="No"/>
    <n v="20"/>
    <n v="4"/>
    <n v="1"/>
    <n v="80"/>
    <n v="1"/>
    <n v="3"/>
    <n v="4"/>
    <n v="2"/>
    <n v="3"/>
    <n v="2"/>
    <n v="1"/>
    <n v="2"/>
    <s v="3-5 yrs"/>
  </r>
  <r>
    <n v="42"/>
    <x v="1"/>
    <s v="Travel_Rarely"/>
    <n v="265"/>
    <x v="0"/>
    <n v="5"/>
    <n v="2"/>
    <s v="Marketing"/>
    <n v="1"/>
    <n v="1029"/>
    <n v="4"/>
    <s v="Male"/>
    <n v="90"/>
    <n v="3"/>
    <n v="5"/>
    <s v="Manager"/>
    <x v="2"/>
    <s v="Married"/>
    <x v="705"/>
    <n v="7770"/>
    <n v="6"/>
    <s v="Y"/>
    <s v="No"/>
    <n v="13"/>
    <n v="3"/>
    <n v="2"/>
    <n v="80"/>
    <n v="0"/>
    <n v="21"/>
    <n v="3"/>
    <n v="4"/>
    <n v="1"/>
    <n v="0"/>
    <n v="0"/>
    <n v="0"/>
    <s v="0-2 yrs"/>
  </r>
  <r>
    <n v="50"/>
    <x v="1"/>
    <s v="Travel_Rarely"/>
    <n v="804"/>
    <x v="1"/>
    <n v="9"/>
    <n v="3"/>
    <s v="Life Sciences"/>
    <n v="1"/>
    <n v="1030"/>
    <n v="1"/>
    <s v="Male"/>
    <n v="64"/>
    <n v="3"/>
    <n v="1"/>
    <s v="Laboratory Technician"/>
    <x v="0"/>
    <s v="Married"/>
    <x v="631"/>
    <n v="20165"/>
    <n v="4"/>
    <s v="Y"/>
    <s v="No"/>
    <n v="18"/>
    <n v="3"/>
    <n v="2"/>
    <n v="80"/>
    <n v="0"/>
    <n v="8"/>
    <n v="5"/>
    <n v="3"/>
    <n v="1"/>
    <n v="0"/>
    <n v="0"/>
    <n v="0"/>
    <s v="0-2 yrs"/>
  </r>
  <r>
    <n v="59"/>
    <x v="1"/>
    <s v="Travel_Rarely"/>
    <n v="715"/>
    <x v="1"/>
    <n v="2"/>
    <n v="3"/>
    <s v="Life Sciences"/>
    <n v="1"/>
    <n v="1032"/>
    <n v="3"/>
    <s v="Female"/>
    <n v="69"/>
    <n v="2"/>
    <n v="4"/>
    <s v="Manufacturing Director"/>
    <x v="0"/>
    <s v="Single"/>
    <x v="706"/>
    <n v="21829"/>
    <n v="3"/>
    <s v="Y"/>
    <s v="Yes"/>
    <n v="13"/>
    <n v="3"/>
    <n v="1"/>
    <n v="80"/>
    <n v="0"/>
    <n v="30"/>
    <n v="4"/>
    <n v="3"/>
    <n v="5"/>
    <n v="3"/>
    <n v="4"/>
    <n v="3"/>
    <s v="3-5 yrs"/>
  </r>
  <r>
    <n v="37"/>
    <x v="0"/>
    <s v="Travel_Rarely"/>
    <n v="1141"/>
    <x v="1"/>
    <n v="11"/>
    <n v="2"/>
    <s v="Medical"/>
    <n v="1"/>
    <n v="1033"/>
    <n v="1"/>
    <s v="Female"/>
    <n v="61"/>
    <n v="1"/>
    <n v="2"/>
    <s v="Healthcare Representative"/>
    <x v="1"/>
    <s v="Married"/>
    <x v="707"/>
    <n v="14382"/>
    <n v="5"/>
    <s v="Y"/>
    <s v="No"/>
    <n v="15"/>
    <n v="3"/>
    <n v="1"/>
    <n v="80"/>
    <n v="0"/>
    <n v="15"/>
    <n v="2"/>
    <n v="1"/>
    <n v="1"/>
    <n v="0"/>
    <n v="0"/>
    <n v="0"/>
    <s v="0-2 yrs"/>
  </r>
  <r>
    <n v="55"/>
    <x v="1"/>
    <s v="Travel_Frequently"/>
    <n v="135"/>
    <x v="1"/>
    <n v="18"/>
    <n v="4"/>
    <s v="Medical"/>
    <n v="1"/>
    <n v="1034"/>
    <n v="3"/>
    <s v="Male"/>
    <n v="62"/>
    <n v="3"/>
    <n v="2"/>
    <s v="Healthcare Representative"/>
    <x v="1"/>
    <s v="Married"/>
    <x v="708"/>
    <n v="12992"/>
    <n v="3"/>
    <s v="Y"/>
    <s v="Yes"/>
    <n v="14"/>
    <n v="3"/>
    <n v="4"/>
    <n v="80"/>
    <n v="2"/>
    <n v="17"/>
    <n v="3"/>
    <n v="3"/>
    <n v="8"/>
    <n v="7"/>
    <n v="6"/>
    <n v="7"/>
    <s v="5+ yrs"/>
  </r>
  <r>
    <n v="41"/>
    <x v="1"/>
    <s v="Non-Travel"/>
    <n v="247"/>
    <x v="1"/>
    <n v="7"/>
    <n v="1"/>
    <s v="Life Sciences"/>
    <n v="1"/>
    <n v="1035"/>
    <n v="2"/>
    <s v="Female"/>
    <n v="55"/>
    <n v="1"/>
    <n v="5"/>
    <s v="Research Director"/>
    <x v="2"/>
    <s v="Divorced"/>
    <x v="709"/>
    <n v="20284"/>
    <n v="1"/>
    <s v="Y"/>
    <s v="No"/>
    <n v="22"/>
    <n v="4"/>
    <n v="2"/>
    <n v="80"/>
    <n v="2"/>
    <n v="21"/>
    <n v="3"/>
    <n v="3"/>
    <n v="21"/>
    <n v="16"/>
    <n v="5"/>
    <n v="10"/>
    <s v="5+ yrs"/>
  </r>
  <r>
    <n v="38"/>
    <x v="1"/>
    <s v="Travel_Rarely"/>
    <n v="1035"/>
    <x v="0"/>
    <n v="3"/>
    <n v="4"/>
    <s v="Life Sciences"/>
    <n v="1"/>
    <n v="1036"/>
    <n v="2"/>
    <s v="Male"/>
    <n v="42"/>
    <n v="3"/>
    <n v="2"/>
    <s v="Sales Executive"/>
    <x v="0"/>
    <s v="Single"/>
    <x v="710"/>
    <n v="4981"/>
    <n v="8"/>
    <s v="Y"/>
    <s v="Yes"/>
    <n v="12"/>
    <n v="3"/>
    <n v="3"/>
    <n v="80"/>
    <n v="0"/>
    <n v="19"/>
    <n v="1"/>
    <n v="3"/>
    <n v="1"/>
    <n v="0"/>
    <n v="0"/>
    <n v="0"/>
    <s v="0-2 yrs"/>
  </r>
  <r>
    <n v="26"/>
    <x v="0"/>
    <s v="Non-Travel"/>
    <n v="265"/>
    <x v="0"/>
    <n v="29"/>
    <n v="2"/>
    <s v="Medical"/>
    <n v="1"/>
    <n v="1037"/>
    <n v="2"/>
    <s v="Male"/>
    <n v="79"/>
    <n v="1"/>
    <n v="2"/>
    <s v="Sales Executive"/>
    <x v="3"/>
    <s v="Single"/>
    <x v="711"/>
    <n v="21813"/>
    <n v="8"/>
    <s v="Y"/>
    <s v="No"/>
    <n v="18"/>
    <n v="3"/>
    <n v="4"/>
    <n v="80"/>
    <n v="0"/>
    <n v="7"/>
    <n v="6"/>
    <n v="3"/>
    <n v="2"/>
    <n v="2"/>
    <n v="2"/>
    <n v="2"/>
    <s v="0-2 yrs"/>
  </r>
  <r>
    <n v="52"/>
    <x v="0"/>
    <s v="Travel_Rarely"/>
    <n v="266"/>
    <x v="0"/>
    <n v="2"/>
    <n v="1"/>
    <s v="Marketing"/>
    <n v="1"/>
    <n v="1038"/>
    <n v="1"/>
    <s v="Female"/>
    <n v="57"/>
    <n v="1"/>
    <n v="5"/>
    <s v="Manager"/>
    <x v="0"/>
    <s v="Married"/>
    <x v="712"/>
    <n v="25846"/>
    <n v="1"/>
    <s v="Y"/>
    <s v="No"/>
    <n v="15"/>
    <n v="3"/>
    <n v="4"/>
    <n v="80"/>
    <n v="1"/>
    <n v="33"/>
    <n v="3"/>
    <n v="3"/>
    <n v="32"/>
    <n v="14"/>
    <n v="6"/>
    <n v="9"/>
    <s v="5+ yrs"/>
  </r>
  <r>
    <n v="44"/>
    <x v="1"/>
    <s v="Travel_Rarely"/>
    <n v="1448"/>
    <x v="0"/>
    <n v="28"/>
    <n v="3"/>
    <s v="Medical"/>
    <n v="1"/>
    <n v="1039"/>
    <n v="4"/>
    <s v="Female"/>
    <n v="53"/>
    <n v="4"/>
    <n v="4"/>
    <s v="Sales Executive"/>
    <x v="0"/>
    <s v="Married"/>
    <x v="713"/>
    <n v="11737"/>
    <n v="3"/>
    <s v="Y"/>
    <s v="Yes"/>
    <n v="18"/>
    <n v="3"/>
    <n v="3"/>
    <n v="80"/>
    <n v="1"/>
    <n v="23"/>
    <n v="2"/>
    <n v="3"/>
    <n v="12"/>
    <n v="11"/>
    <n v="11"/>
    <n v="11"/>
    <s v="5+ yrs"/>
  </r>
  <r>
    <n v="50"/>
    <x v="1"/>
    <s v="Non-Travel"/>
    <n v="145"/>
    <x v="0"/>
    <n v="1"/>
    <n v="3"/>
    <s v="Life Sciences"/>
    <n v="1"/>
    <n v="1040"/>
    <n v="4"/>
    <s v="Female"/>
    <n v="95"/>
    <n v="3"/>
    <n v="2"/>
    <s v="Sales Executive"/>
    <x v="2"/>
    <s v="Married"/>
    <x v="136"/>
    <n v="24920"/>
    <n v="0"/>
    <s v="Y"/>
    <s v="No"/>
    <n v="12"/>
    <n v="3"/>
    <n v="1"/>
    <n v="80"/>
    <n v="1"/>
    <n v="19"/>
    <n v="3"/>
    <n v="3"/>
    <n v="18"/>
    <n v="7"/>
    <n v="0"/>
    <n v="13"/>
    <s v="5+ yrs"/>
  </r>
  <r>
    <n v="36"/>
    <x v="0"/>
    <s v="Travel_Rarely"/>
    <n v="885"/>
    <x v="1"/>
    <n v="16"/>
    <n v="4"/>
    <s v="Life Sciences"/>
    <n v="1"/>
    <n v="1042"/>
    <n v="3"/>
    <s v="Female"/>
    <n v="43"/>
    <n v="4"/>
    <n v="1"/>
    <s v="Laboratory Technician"/>
    <x v="3"/>
    <s v="Single"/>
    <x v="714"/>
    <n v="8269"/>
    <n v="1"/>
    <s v="Y"/>
    <s v="No"/>
    <n v="16"/>
    <n v="3"/>
    <n v="3"/>
    <n v="80"/>
    <n v="0"/>
    <n v="18"/>
    <n v="1"/>
    <n v="3"/>
    <n v="17"/>
    <n v="13"/>
    <n v="15"/>
    <n v="14"/>
    <s v="5+ yrs"/>
  </r>
  <r>
    <n v="39"/>
    <x v="1"/>
    <s v="Travel_Frequently"/>
    <n v="945"/>
    <x v="1"/>
    <n v="22"/>
    <n v="3"/>
    <s v="Medical"/>
    <n v="1"/>
    <n v="1043"/>
    <n v="4"/>
    <s v="Female"/>
    <n v="82"/>
    <n v="3"/>
    <n v="3"/>
    <s v="Manufacturing Director"/>
    <x v="3"/>
    <s v="Single"/>
    <x v="715"/>
    <n v="5083"/>
    <n v="1"/>
    <s v="Y"/>
    <s v="Yes"/>
    <n v="13"/>
    <n v="3"/>
    <n v="3"/>
    <n v="80"/>
    <n v="0"/>
    <n v="21"/>
    <n v="2"/>
    <n v="3"/>
    <n v="21"/>
    <n v="6"/>
    <n v="2"/>
    <n v="8"/>
    <s v="5+ yrs"/>
  </r>
  <r>
    <n v="33"/>
    <x v="1"/>
    <s v="Non-Travel"/>
    <n v="1038"/>
    <x v="0"/>
    <n v="8"/>
    <n v="1"/>
    <s v="Life Sciences"/>
    <n v="1"/>
    <n v="1044"/>
    <n v="2"/>
    <s v="Female"/>
    <n v="88"/>
    <n v="2"/>
    <n v="1"/>
    <s v="Sales Representative"/>
    <x v="0"/>
    <s v="Single"/>
    <x v="531"/>
    <n v="21437"/>
    <n v="0"/>
    <s v="Y"/>
    <s v="No"/>
    <n v="19"/>
    <n v="3"/>
    <n v="4"/>
    <n v="80"/>
    <n v="0"/>
    <n v="3"/>
    <n v="2"/>
    <n v="2"/>
    <n v="2"/>
    <n v="2"/>
    <n v="2"/>
    <n v="2"/>
    <s v="0-2 yrs"/>
  </r>
  <r>
    <n v="45"/>
    <x v="1"/>
    <s v="Travel_Rarely"/>
    <n v="1234"/>
    <x v="0"/>
    <n v="11"/>
    <n v="2"/>
    <s v="Life Sciences"/>
    <n v="1"/>
    <n v="1045"/>
    <n v="4"/>
    <s v="Female"/>
    <n v="90"/>
    <n v="3"/>
    <n v="4"/>
    <s v="Manager"/>
    <x v="0"/>
    <s v="Married"/>
    <x v="716"/>
    <n v="5404"/>
    <n v="3"/>
    <s v="Y"/>
    <s v="No"/>
    <n v="13"/>
    <n v="3"/>
    <n v="2"/>
    <n v="80"/>
    <n v="1"/>
    <n v="26"/>
    <n v="4"/>
    <n v="4"/>
    <n v="9"/>
    <n v="3"/>
    <n v="1"/>
    <n v="1"/>
    <s v="5+ yrs"/>
  </r>
  <r>
    <n v="32"/>
    <x v="1"/>
    <s v="Non-Travel"/>
    <n v="1109"/>
    <x v="1"/>
    <n v="29"/>
    <n v="4"/>
    <s v="Medical"/>
    <n v="1"/>
    <n v="1046"/>
    <n v="4"/>
    <s v="Female"/>
    <n v="69"/>
    <n v="3"/>
    <n v="1"/>
    <s v="Laboratory Technician"/>
    <x v="2"/>
    <s v="Single"/>
    <x v="717"/>
    <n v="11135"/>
    <n v="9"/>
    <s v="Y"/>
    <s v="No"/>
    <n v="12"/>
    <n v="3"/>
    <n v="2"/>
    <n v="80"/>
    <n v="0"/>
    <n v="10"/>
    <n v="2"/>
    <n v="3"/>
    <n v="8"/>
    <n v="7"/>
    <n v="7"/>
    <n v="7"/>
    <s v="5+ yrs"/>
  </r>
  <r>
    <n v="34"/>
    <x v="1"/>
    <s v="Travel_Rarely"/>
    <n v="216"/>
    <x v="0"/>
    <n v="1"/>
    <n v="4"/>
    <s v="Marketing"/>
    <n v="1"/>
    <n v="1047"/>
    <n v="2"/>
    <s v="Male"/>
    <n v="75"/>
    <n v="4"/>
    <n v="2"/>
    <s v="Sales Executive"/>
    <x v="0"/>
    <s v="Divorced"/>
    <x v="718"/>
    <n v="12278"/>
    <n v="0"/>
    <s v="Y"/>
    <s v="No"/>
    <n v="11"/>
    <n v="3"/>
    <n v="4"/>
    <n v="80"/>
    <n v="1"/>
    <n v="16"/>
    <n v="2"/>
    <n v="2"/>
    <n v="15"/>
    <n v="1"/>
    <n v="0"/>
    <n v="9"/>
    <s v="5+ yrs"/>
  </r>
  <r>
    <n v="59"/>
    <x v="1"/>
    <s v="Travel_Rarely"/>
    <n v="1089"/>
    <x v="0"/>
    <n v="1"/>
    <n v="2"/>
    <s v="Technical Degree"/>
    <n v="1"/>
    <n v="1048"/>
    <n v="2"/>
    <s v="Male"/>
    <n v="66"/>
    <n v="3"/>
    <n v="3"/>
    <s v="Manager"/>
    <x v="0"/>
    <s v="Married"/>
    <x v="719"/>
    <n v="11038"/>
    <n v="3"/>
    <s v="Y"/>
    <s v="Yes"/>
    <n v="14"/>
    <n v="3"/>
    <n v="3"/>
    <n v="80"/>
    <n v="1"/>
    <n v="14"/>
    <n v="1"/>
    <n v="1"/>
    <n v="6"/>
    <n v="4"/>
    <n v="0"/>
    <n v="4"/>
    <s v="5+ yrs"/>
  </r>
  <r>
    <n v="45"/>
    <x v="1"/>
    <s v="Travel_Rarely"/>
    <n v="788"/>
    <x v="2"/>
    <n v="24"/>
    <n v="4"/>
    <s v="Medical"/>
    <n v="1"/>
    <n v="1049"/>
    <n v="2"/>
    <s v="Male"/>
    <n v="36"/>
    <n v="3"/>
    <n v="1"/>
    <s v="Human Resources"/>
    <x v="1"/>
    <s v="Single"/>
    <x v="221"/>
    <n v="8318"/>
    <n v="1"/>
    <s v="Y"/>
    <s v="No"/>
    <n v="16"/>
    <n v="3"/>
    <n v="1"/>
    <n v="80"/>
    <n v="0"/>
    <n v="6"/>
    <n v="3"/>
    <n v="3"/>
    <n v="6"/>
    <n v="3"/>
    <n v="0"/>
    <n v="4"/>
    <s v="5+ yrs"/>
  </r>
  <r>
    <n v="53"/>
    <x v="1"/>
    <s v="Travel_Frequently"/>
    <n v="124"/>
    <x v="0"/>
    <n v="2"/>
    <n v="3"/>
    <s v="Marketing"/>
    <n v="1"/>
    <n v="1050"/>
    <n v="3"/>
    <s v="Female"/>
    <n v="38"/>
    <n v="2"/>
    <n v="3"/>
    <s v="Sales Executive"/>
    <x v="1"/>
    <s v="Married"/>
    <x v="720"/>
    <n v="23537"/>
    <n v="2"/>
    <s v="Y"/>
    <s v="No"/>
    <n v="12"/>
    <n v="3"/>
    <n v="1"/>
    <n v="80"/>
    <n v="1"/>
    <n v="30"/>
    <n v="2"/>
    <n v="3"/>
    <n v="15"/>
    <n v="7"/>
    <n v="6"/>
    <n v="12"/>
    <s v="5+ yrs"/>
  </r>
  <r>
    <n v="36"/>
    <x v="0"/>
    <s v="Travel_Rarely"/>
    <n v="660"/>
    <x v="1"/>
    <n v="15"/>
    <n v="3"/>
    <s v="Other"/>
    <n v="1"/>
    <n v="1052"/>
    <n v="1"/>
    <s v="Male"/>
    <n v="81"/>
    <n v="3"/>
    <n v="2"/>
    <s v="Laboratory Technician"/>
    <x v="2"/>
    <s v="Divorced"/>
    <x v="721"/>
    <n v="7858"/>
    <n v="7"/>
    <s v="Y"/>
    <s v="No"/>
    <n v="14"/>
    <n v="3"/>
    <n v="2"/>
    <n v="80"/>
    <n v="1"/>
    <n v="9"/>
    <n v="3"/>
    <n v="2"/>
    <n v="1"/>
    <n v="0"/>
    <n v="0"/>
    <n v="0"/>
    <s v="0-2 yrs"/>
  </r>
  <r>
    <n v="26"/>
    <x v="0"/>
    <s v="Travel_Frequently"/>
    <n v="342"/>
    <x v="1"/>
    <n v="2"/>
    <n v="3"/>
    <s v="Life Sciences"/>
    <n v="1"/>
    <n v="1053"/>
    <n v="1"/>
    <s v="Male"/>
    <n v="57"/>
    <n v="3"/>
    <n v="1"/>
    <s v="Research Scientist"/>
    <x v="3"/>
    <s v="Married"/>
    <x v="96"/>
    <n v="15346"/>
    <n v="6"/>
    <s v="Y"/>
    <s v="Yes"/>
    <n v="14"/>
    <n v="3"/>
    <n v="2"/>
    <n v="80"/>
    <n v="1"/>
    <n v="6"/>
    <n v="2"/>
    <n v="3"/>
    <n v="3"/>
    <n v="2"/>
    <n v="1"/>
    <n v="2"/>
    <s v="3-5 yrs"/>
  </r>
  <r>
    <n v="34"/>
    <x v="1"/>
    <s v="Travel_Rarely"/>
    <n v="1333"/>
    <x v="0"/>
    <n v="10"/>
    <n v="4"/>
    <s v="Life Sciences"/>
    <n v="1"/>
    <n v="1055"/>
    <n v="3"/>
    <s v="Female"/>
    <n v="87"/>
    <n v="3"/>
    <n v="1"/>
    <s v="Sales Representative"/>
    <x v="2"/>
    <s v="Married"/>
    <x v="722"/>
    <n v="18410"/>
    <n v="1"/>
    <s v="Y"/>
    <s v="Yes"/>
    <n v="19"/>
    <n v="3"/>
    <n v="4"/>
    <n v="80"/>
    <n v="1"/>
    <n v="1"/>
    <n v="2"/>
    <n v="3"/>
    <n v="1"/>
    <n v="1"/>
    <n v="0"/>
    <n v="0"/>
    <s v="0-2 yrs"/>
  </r>
  <r>
    <n v="28"/>
    <x v="1"/>
    <s v="Travel_Rarely"/>
    <n v="1144"/>
    <x v="0"/>
    <n v="10"/>
    <n v="1"/>
    <s v="Medical"/>
    <n v="1"/>
    <n v="1056"/>
    <n v="4"/>
    <s v="Male"/>
    <n v="74"/>
    <n v="3"/>
    <n v="1"/>
    <s v="Sales Representative"/>
    <x v="1"/>
    <s v="Married"/>
    <x v="723"/>
    <n v="23384"/>
    <n v="1"/>
    <s v="Y"/>
    <s v="No"/>
    <n v="22"/>
    <n v="4"/>
    <n v="2"/>
    <n v="80"/>
    <n v="0"/>
    <n v="1"/>
    <n v="5"/>
    <n v="3"/>
    <n v="1"/>
    <n v="0"/>
    <n v="0"/>
    <n v="0"/>
    <s v="0-2 yrs"/>
  </r>
  <r>
    <n v="38"/>
    <x v="1"/>
    <s v="Travel_Frequently"/>
    <n v="1186"/>
    <x v="1"/>
    <n v="3"/>
    <n v="4"/>
    <s v="Other"/>
    <n v="1"/>
    <n v="1060"/>
    <n v="3"/>
    <s v="Male"/>
    <n v="44"/>
    <n v="3"/>
    <n v="1"/>
    <s v="Research Scientist"/>
    <x v="2"/>
    <s v="Married"/>
    <x v="724"/>
    <n v="2997"/>
    <n v="3"/>
    <s v="Y"/>
    <s v="No"/>
    <n v="16"/>
    <n v="3"/>
    <n v="1"/>
    <n v="80"/>
    <n v="1"/>
    <n v="8"/>
    <n v="2"/>
    <n v="3"/>
    <n v="2"/>
    <n v="2"/>
    <n v="2"/>
    <n v="2"/>
    <s v="0-2 yrs"/>
  </r>
  <r>
    <n v="50"/>
    <x v="1"/>
    <s v="Travel_Rarely"/>
    <n v="1464"/>
    <x v="1"/>
    <n v="2"/>
    <n v="4"/>
    <s v="Medical"/>
    <n v="1"/>
    <n v="1061"/>
    <n v="2"/>
    <s v="Male"/>
    <n v="62"/>
    <n v="3"/>
    <n v="5"/>
    <s v="Research Director"/>
    <x v="2"/>
    <s v="Married"/>
    <x v="725"/>
    <n v="12853"/>
    <n v="2"/>
    <s v="Y"/>
    <s v="Yes"/>
    <n v="11"/>
    <n v="3"/>
    <n v="4"/>
    <n v="80"/>
    <n v="1"/>
    <n v="29"/>
    <n v="2"/>
    <n v="2"/>
    <n v="8"/>
    <n v="1"/>
    <n v="7"/>
    <n v="7"/>
    <s v="5+ yrs"/>
  </r>
  <r>
    <n v="37"/>
    <x v="1"/>
    <s v="Travel_Rarely"/>
    <n v="124"/>
    <x v="1"/>
    <n v="3"/>
    <n v="3"/>
    <s v="Other"/>
    <n v="1"/>
    <n v="1062"/>
    <n v="4"/>
    <s v="Female"/>
    <n v="35"/>
    <n v="3"/>
    <n v="2"/>
    <s v="Healthcare Representative"/>
    <x v="1"/>
    <s v="Single"/>
    <x v="726"/>
    <n v="13848"/>
    <n v="3"/>
    <s v="Y"/>
    <s v="No"/>
    <n v="15"/>
    <n v="3"/>
    <n v="1"/>
    <n v="80"/>
    <n v="0"/>
    <n v="8"/>
    <n v="3"/>
    <n v="2"/>
    <n v="4"/>
    <n v="3"/>
    <n v="0"/>
    <n v="1"/>
    <s v="3-5 yrs"/>
  </r>
  <r>
    <n v="40"/>
    <x v="1"/>
    <s v="Travel_Rarely"/>
    <n v="300"/>
    <x v="0"/>
    <n v="26"/>
    <n v="3"/>
    <s v="Marketing"/>
    <n v="1"/>
    <n v="1066"/>
    <n v="3"/>
    <s v="Male"/>
    <n v="74"/>
    <n v="3"/>
    <n v="2"/>
    <s v="Sales Executive"/>
    <x v="3"/>
    <s v="Married"/>
    <x v="727"/>
    <n v="22217"/>
    <n v="1"/>
    <s v="Y"/>
    <s v="No"/>
    <n v="14"/>
    <n v="3"/>
    <n v="2"/>
    <n v="80"/>
    <n v="1"/>
    <n v="8"/>
    <n v="3"/>
    <n v="2"/>
    <n v="7"/>
    <n v="7"/>
    <n v="7"/>
    <n v="5"/>
    <s v="5+ yrs"/>
  </r>
  <r>
    <n v="26"/>
    <x v="1"/>
    <s v="Travel_Frequently"/>
    <n v="921"/>
    <x v="1"/>
    <n v="1"/>
    <n v="1"/>
    <s v="Medical"/>
    <n v="1"/>
    <n v="1068"/>
    <n v="1"/>
    <s v="Female"/>
    <n v="66"/>
    <n v="2"/>
    <n v="1"/>
    <s v="Research Scientist"/>
    <x v="2"/>
    <s v="Divorced"/>
    <x v="728"/>
    <n v="25265"/>
    <n v="1"/>
    <s v="Y"/>
    <s v="No"/>
    <n v="13"/>
    <n v="3"/>
    <n v="3"/>
    <n v="80"/>
    <n v="2"/>
    <n v="5"/>
    <n v="5"/>
    <n v="3"/>
    <n v="5"/>
    <n v="3"/>
    <n v="1"/>
    <n v="3"/>
    <s v="3-5 yrs"/>
  </r>
  <r>
    <n v="46"/>
    <x v="1"/>
    <s v="Travel_Rarely"/>
    <n v="430"/>
    <x v="1"/>
    <n v="1"/>
    <n v="4"/>
    <s v="Medical"/>
    <n v="1"/>
    <n v="1069"/>
    <n v="4"/>
    <s v="Male"/>
    <n v="40"/>
    <n v="3"/>
    <n v="5"/>
    <s v="Research Director"/>
    <x v="0"/>
    <s v="Divorced"/>
    <x v="729"/>
    <n v="21445"/>
    <n v="9"/>
    <s v="Y"/>
    <s v="No"/>
    <n v="17"/>
    <n v="3"/>
    <n v="4"/>
    <n v="80"/>
    <n v="2"/>
    <n v="23"/>
    <n v="0"/>
    <n v="3"/>
    <n v="2"/>
    <n v="2"/>
    <n v="2"/>
    <n v="2"/>
    <s v="0-2 yrs"/>
  </r>
  <r>
    <n v="54"/>
    <x v="1"/>
    <s v="Travel_Rarely"/>
    <n v="1082"/>
    <x v="0"/>
    <n v="2"/>
    <n v="4"/>
    <s v="Life Sciences"/>
    <n v="1"/>
    <n v="1070"/>
    <n v="3"/>
    <s v="Female"/>
    <n v="41"/>
    <n v="2"/>
    <n v="3"/>
    <s v="Sales Executive"/>
    <x v="2"/>
    <s v="Married"/>
    <x v="730"/>
    <n v="8392"/>
    <n v="6"/>
    <s v="Y"/>
    <s v="No"/>
    <n v="11"/>
    <n v="3"/>
    <n v="2"/>
    <n v="80"/>
    <n v="1"/>
    <n v="13"/>
    <n v="4"/>
    <n v="3"/>
    <n v="9"/>
    <n v="4"/>
    <n v="7"/>
    <n v="0"/>
    <s v="5+ yrs"/>
  </r>
  <r>
    <n v="56"/>
    <x v="1"/>
    <s v="Travel_Frequently"/>
    <n v="1240"/>
    <x v="1"/>
    <n v="9"/>
    <n v="3"/>
    <s v="Medical"/>
    <n v="1"/>
    <n v="1071"/>
    <n v="1"/>
    <s v="Female"/>
    <n v="63"/>
    <n v="3"/>
    <n v="1"/>
    <s v="Research Scientist"/>
    <x v="2"/>
    <s v="Married"/>
    <x v="131"/>
    <n v="12154"/>
    <n v="2"/>
    <s v="Y"/>
    <s v="No"/>
    <n v="19"/>
    <n v="3"/>
    <n v="2"/>
    <n v="80"/>
    <n v="1"/>
    <n v="18"/>
    <n v="4"/>
    <n v="3"/>
    <n v="5"/>
    <n v="4"/>
    <n v="0"/>
    <n v="3"/>
    <s v="3-5 yrs"/>
  </r>
  <r>
    <n v="36"/>
    <x v="1"/>
    <s v="Travel_Rarely"/>
    <n v="796"/>
    <x v="1"/>
    <n v="12"/>
    <n v="5"/>
    <s v="Medical"/>
    <n v="1"/>
    <n v="1073"/>
    <n v="4"/>
    <s v="Female"/>
    <n v="51"/>
    <n v="2"/>
    <n v="3"/>
    <s v="Manufacturing Director"/>
    <x v="0"/>
    <s v="Single"/>
    <x v="731"/>
    <n v="15669"/>
    <n v="0"/>
    <s v="Y"/>
    <s v="No"/>
    <n v="11"/>
    <n v="3"/>
    <n v="2"/>
    <n v="80"/>
    <n v="0"/>
    <n v="15"/>
    <n v="2"/>
    <n v="2"/>
    <n v="14"/>
    <n v="8"/>
    <n v="7"/>
    <n v="8"/>
    <s v="5+ yrs"/>
  </r>
  <r>
    <n v="55"/>
    <x v="1"/>
    <s v="Non-Travel"/>
    <n v="444"/>
    <x v="1"/>
    <n v="2"/>
    <n v="1"/>
    <s v="Medical"/>
    <n v="1"/>
    <n v="1074"/>
    <n v="3"/>
    <s v="Male"/>
    <n v="40"/>
    <n v="2"/>
    <n v="4"/>
    <s v="Manager"/>
    <x v="3"/>
    <s v="Single"/>
    <x v="732"/>
    <n v="17323"/>
    <n v="7"/>
    <s v="Y"/>
    <s v="No"/>
    <n v="15"/>
    <n v="3"/>
    <n v="2"/>
    <n v="80"/>
    <n v="0"/>
    <n v="31"/>
    <n v="3"/>
    <n v="4"/>
    <n v="9"/>
    <n v="7"/>
    <n v="6"/>
    <n v="2"/>
    <s v="5+ yrs"/>
  </r>
  <r>
    <n v="43"/>
    <x v="1"/>
    <s v="Travel_Rarely"/>
    <n v="415"/>
    <x v="0"/>
    <n v="25"/>
    <n v="3"/>
    <s v="Medical"/>
    <n v="1"/>
    <n v="1076"/>
    <n v="3"/>
    <s v="Male"/>
    <n v="79"/>
    <n v="2"/>
    <n v="3"/>
    <s v="Sales Executive"/>
    <x v="0"/>
    <s v="Divorced"/>
    <x v="733"/>
    <n v="5268"/>
    <n v="5"/>
    <s v="Y"/>
    <s v="No"/>
    <n v="13"/>
    <n v="3"/>
    <n v="3"/>
    <n v="80"/>
    <n v="1"/>
    <n v="18"/>
    <n v="5"/>
    <n v="3"/>
    <n v="1"/>
    <n v="0"/>
    <n v="0"/>
    <n v="0"/>
    <s v="0-2 yrs"/>
  </r>
  <r>
    <n v="20"/>
    <x v="0"/>
    <s v="Travel_Frequently"/>
    <n v="769"/>
    <x v="0"/>
    <n v="9"/>
    <n v="3"/>
    <s v="Marketing"/>
    <n v="1"/>
    <n v="1077"/>
    <n v="4"/>
    <s v="Female"/>
    <n v="54"/>
    <n v="3"/>
    <n v="1"/>
    <s v="Sales Representative"/>
    <x v="0"/>
    <s v="Single"/>
    <x v="157"/>
    <n v="17205"/>
    <n v="1"/>
    <s v="Y"/>
    <s v="Yes"/>
    <n v="14"/>
    <n v="3"/>
    <n v="2"/>
    <n v="80"/>
    <n v="0"/>
    <n v="2"/>
    <n v="3"/>
    <n v="3"/>
    <n v="2"/>
    <n v="2"/>
    <n v="0"/>
    <n v="2"/>
    <s v="0-2 yrs"/>
  </r>
  <r>
    <n v="21"/>
    <x v="0"/>
    <s v="Travel_Rarely"/>
    <n v="1334"/>
    <x v="1"/>
    <n v="10"/>
    <n v="3"/>
    <s v="Life Sciences"/>
    <n v="1"/>
    <n v="1079"/>
    <n v="3"/>
    <s v="Female"/>
    <n v="36"/>
    <n v="2"/>
    <n v="1"/>
    <s v="Laboratory Technician"/>
    <x v="3"/>
    <s v="Single"/>
    <x v="734"/>
    <n v="17258"/>
    <n v="1"/>
    <s v="Y"/>
    <s v="No"/>
    <n v="13"/>
    <n v="3"/>
    <n v="1"/>
    <n v="80"/>
    <n v="0"/>
    <n v="1"/>
    <n v="6"/>
    <n v="2"/>
    <n v="1"/>
    <n v="0"/>
    <n v="1"/>
    <n v="0"/>
    <s v="0-2 yrs"/>
  </r>
  <r>
    <n v="46"/>
    <x v="1"/>
    <s v="Travel_Rarely"/>
    <n v="1003"/>
    <x v="1"/>
    <n v="8"/>
    <n v="4"/>
    <s v="Life Sciences"/>
    <n v="1"/>
    <n v="1080"/>
    <n v="4"/>
    <s v="Female"/>
    <n v="74"/>
    <n v="2"/>
    <n v="2"/>
    <s v="Research Scientist"/>
    <x v="3"/>
    <s v="Divorced"/>
    <x v="735"/>
    <n v="21029"/>
    <n v="8"/>
    <s v="Y"/>
    <s v="Yes"/>
    <n v="23"/>
    <n v="4"/>
    <n v="1"/>
    <n v="80"/>
    <n v="3"/>
    <n v="19"/>
    <n v="2"/>
    <n v="3"/>
    <n v="16"/>
    <n v="13"/>
    <n v="1"/>
    <n v="7"/>
    <s v="5+ yrs"/>
  </r>
  <r>
    <n v="51"/>
    <x v="0"/>
    <s v="Travel_Rarely"/>
    <n v="1323"/>
    <x v="1"/>
    <n v="4"/>
    <n v="4"/>
    <s v="Life Sciences"/>
    <n v="1"/>
    <n v="1081"/>
    <n v="1"/>
    <s v="Male"/>
    <n v="34"/>
    <n v="3"/>
    <n v="1"/>
    <s v="Research Scientist"/>
    <x v="2"/>
    <s v="Married"/>
    <x v="736"/>
    <n v="10332"/>
    <n v="9"/>
    <s v="Y"/>
    <s v="Yes"/>
    <n v="12"/>
    <n v="3"/>
    <n v="3"/>
    <n v="80"/>
    <n v="3"/>
    <n v="18"/>
    <n v="2"/>
    <n v="4"/>
    <n v="10"/>
    <n v="0"/>
    <n v="2"/>
    <n v="7"/>
    <s v="5+ yrs"/>
  </r>
  <r>
    <n v="28"/>
    <x v="0"/>
    <s v="Non-Travel"/>
    <n v="1366"/>
    <x v="1"/>
    <n v="24"/>
    <n v="2"/>
    <s v="Technical Degree"/>
    <n v="1"/>
    <n v="1082"/>
    <n v="2"/>
    <s v="Male"/>
    <n v="72"/>
    <n v="2"/>
    <n v="3"/>
    <s v="Healthcare Representative"/>
    <x v="3"/>
    <s v="Single"/>
    <x v="737"/>
    <n v="12355"/>
    <n v="1"/>
    <s v="Y"/>
    <s v="No"/>
    <n v="12"/>
    <n v="3"/>
    <n v="1"/>
    <n v="80"/>
    <n v="0"/>
    <n v="10"/>
    <n v="2"/>
    <n v="2"/>
    <n v="10"/>
    <n v="7"/>
    <n v="1"/>
    <n v="9"/>
    <s v="5+ yrs"/>
  </r>
  <r>
    <n v="26"/>
    <x v="1"/>
    <s v="Travel_Rarely"/>
    <n v="192"/>
    <x v="1"/>
    <n v="1"/>
    <n v="2"/>
    <s v="Medical"/>
    <n v="1"/>
    <n v="1083"/>
    <n v="1"/>
    <s v="Male"/>
    <n v="59"/>
    <n v="2"/>
    <n v="1"/>
    <s v="Laboratory Technician"/>
    <x v="3"/>
    <s v="Married"/>
    <x v="738"/>
    <n v="11141"/>
    <n v="1"/>
    <s v="Y"/>
    <s v="No"/>
    <n v="16"/>
    <n v="3"/>
    <n v="1"/>
    <n v="80"/>
    <n v="2"/>
    <n v="6"/>
    <n v="2"/>
    <n v="3"/>
    <n v="5"/>
    <n v="3"/>
    <n v="1"/>
    <n v="3"/>
    <s v="3-5 yrs"/>
  </r>
  <r>
    <n v="30"/>
    <x v="1"/>
    <s v="Travel_Rarely"/>
    <n v="1176"/>
    <x v="1"/>
    <n v="20"/>
    <n v="3"/>
    <s v="Other"/>
    <n v="1"/>
    <n v="1084"/>
    <n v="3"/>
    <s v="Male"/>
    <n v="85"/>
    <n v="3"/>
    <n v="2"/>
    <s v="Manufacturing Director"/>
    <x v="3"/>
    <s v="Married"/>
    <x v="739"/>
    <n v="9096"/>
    <n v="0"/>
    <s v="Y"/>
    <s v="No"/>
    <n v="15"/>
    <n v="3"/>
    <n v="3"/>
    <n v="80"/>
    <n v="1"/>
    <n v="7"/>
    <n v="1"/>
    <n v="2"/>
    <n v="6"/>
    <n v="2"/>
    <n v="0"/>
    <n v="2"/>
    <s v="5+ yrs"/>
  </r>
  <r>
    <n v="41"/>
    <x v="1"/>
    <s v="Travel_Rarely"/>
    <n v="509"/>
    <x v="1"/>
    <n v="7"/>
    <n v="2"/>
    <s v="Technical Degree"/>
    <n v="1"/>
    <n v="1085"/>
    <n v="2"/>
    <s v="Female"/>
    <n v="43"/>
    <n v="4"/>
    <n v="1"/>
    <s v="Research Scientist"/>
    <x v="2"/>
    <s v="Married"/>
    <x v="740"/>
    <n v="18863"/>
    <n v="1"/>
    <s v="Y"/>
    <s v="No"/>
    <n v="13"/>
    <n v="3"/>
    <n v="3"/>
    <n v="80"/>
    <n v="0"/>
    <n v="10"/>
    <n v="3"/>
    <n v="3"/>
    <n v="10"/>
    <n v="6"/>
    <n v="0"/>
    <n v="8"/>
    <s v="5+ yrs"/>
  </r>
  <r>
    <n v="38"/>
    <x v="1"/>
    <s v="Travel_Rarely"/>
    <n v="330"/>
    <x v="1"/>
    <n v="17"/>
    <n v="1"/>
    <s v="Life Sciences"/>
    <n v="1"/>
    <n v="1088"/>
    <n v="3"/>
    <s v="Female"/>
    <n v="65"/>
    <n v="2"/>
    <n v="3"/>
    <s v="Healthcare Representative"/>
    <x v="2"/>
    <s v="Married"/>
    <x v="741"/>
    <n v="24608"/>
    <n v="0"/>
    <s v="Y"/>
    <s v="No"/>
    <n v="18"/>
    <n v="3"/>
    <n v="1"/>
    <n v="80"/>
    <n v="1"/>
    <n v="20"/>
    <n v="4"/>
    <n v="2"/>
    <n v="19"/>
    <n v="9"/>
    <n v="1"/>
    <n v="9"/>
    <s v="5+ yrs"/>
  </r>
  <r>
    <n v="40"/>
    <x v="1"/>
    <s v="Travel_Rarely"/>
    <n v="1492"/>
    <x v="1"/>
    <n v="20"/>
    <n v="4"/>
    <s v="Technical Degree"/>
    <n v="1"/>
    <n v="1092"/>
    <n v="1"/>
    <s v="Male"/>
    <n v="61"/>
    <n v="3"/>
    <n v="3"/>
    <s v="Healthcare Representative"/>
    <x v="0"/>
    <s v="Married"/>
    <x v="742"/>
    <n v="26542"/>
    <n v="4"/>
    <s v="Y"/>
    <s v="No"/>
    <n v="20"/>
    <n v="4"/>
    <n v="4"/>
    <n v="80"/>
    <n v="1"/>
    <n v="14"/>
    <n v="6"/>
    <n v="3"/>
    <n v="11"/>
    <n v="10"/>
    <n v="11"/>
    <n v="1"/>
    <s v="5+ yrs"/>
  </r>
  <r>
    <n v="27"/>
    <x v="1"/>
    <s v="Non-Travel"/>
    <n v="1277"/>
    <x v="1"/>
    <n v="8"/>
    <n v="5"/>
    <s v="Life Sciences"/>
    <n v="1"/>
    <n v="1094"/>
    <n v="1"/>
    <s v="Male"/>
    <n v="87"/>
    <n v="1"/>
    <n v="1"/>
    <s v="Laboratory Technician"/>
    <x v="2"/>
    <s v="Married"/>
    <x v="743"/>
    <n v="5869"/>
    <n v="1"/>
    <s v="Y"/>
    <s v="No"/>
    <n v="19"/>
    <n v="3"/>
    <n v="4"/>
    <n v="80"/>
    <n v="3"/>
    <n v="3"/>
    <n v="4"/>
    <n v="3"/>
    <n v="3"/>
    <n v="2"/>
    <n v="1"/>
    <n v="2"/>
    <s v="3-5 yrs"/>
  </r>
  <r>
    <n v="55"/>
    <x v="1"/>
    <s v="Travel_Frequently"/>
    <n v="1091"/>
    <x v="1"/>
    <n v="2"/>
    <n v="1"/>
    <s v="Life Sciences"/>
    <n v="1"/>
    <n v="1096"/>
    <n v="4"/>
    <s v="Male"/>
    <n v="65"/>
    <n v="3"/>
    <n v="3"/>
    <s v="Manufacturing Director"/>
    <x v="1"/>
    <s v="Married"/>
    <x v="744"/>
    <n v="15813"/>
    <n v="3"/>
    <s v="Y"/>
    <s v="No"/>
    <n v="18"/>
    <n v="3"/>
    <n v="2"/>
    <n v="80"/>
    <n v="1"/>
    <n v="23"/>
    <n v="4"/>
    <n v="3"/>
    <n v="3"/>
    <n v="2"/>
    <n v="1"/>
    <n v="2"/>
    <s v="3-5 yrs"/>
  </r>
  <r>
    <n v="28"/>
    <x v="1"/>
    <s v="Travel_Rarely"/>
    <n v="857"/>
    <x v="1"/>
    <n v="10"/>
    <n v="3"/>
    <s v="Other"/>
    <n v="1"/>
    <n v="1097"/>
    <n v="3"/>
    <s v="Female"/>
    <n v="59"/>
    <n v="3"/>
    <n v="2"/>
    <s v="Research Scientist"/>
    <x v="2"/>
    <s v="Single"/>
    <x v="745"/>
    <n v="7909"/>
    <n v="3"/>
    <s v="Y"/>
    <s v="No"/>
    <n v="13"/>
    <n v="3"/>
    <n v="4"/>
    <n v="80"/>
    <n v="0"/>
    <n v="10"/>
    <n v="4"/>
    <n v="4"/>
    <n v="8"/>
    <n v="7"/>
    <n v="1"/>
    <n v="7"/>
    <s v="5+ yrs"/>
  </r>
  <r>
    <n v="44"/>
    <x v="0"/>
    <s v="Travel_Rarely"/>
    <n v="1376"/>
    <x v="2"/>
    <n v="1"/>
    <n v="2"/>
    <s v="Medical"/>
    <n v="1"/>
    <n v="1098"/>
    <n v="2"/>
    <s v="Male"/>
    <n v="91"/>
    <n v="2"/>
    <n v="3"/>
    <s v="Human Resources"/>
    <x v="3"/>
    <s v="Married"/>
    <x v="746"/>
    <n v="2326"/>
    <n v="9"/>
    <s v="Y"/>
    <s v="No"/>
    <n v="14"/>
    <n v="3"/>
    <n v="4"/>
    <n v="80"/>
    <n v="1"/>
    <n v="24"/>
    <n v="1"/>
    <n v="3"/>
    <n v="20"/>
    <n v="6"/>
    <n v="3"/>
    <n v="6"/>
    <s v="5+ yrs"/>
  </r>
  <r>
    <n v="33"/>
    <x v="1"/>
    <s v="Travel_Rarely"/>
    <n v="654"/>
    <x v="1"/>
    <n v="5"/>
    <n v="3"/>
    <s v="Life Sciences"/>
    <n v="1"/>
    <n v="1099"/>
    <n v="4"/>
    <s v="Male"/>
    <n v="34"/>
    <n v="2"/>
    <n v="3"/>
    <s v="Healthcare Representative"/>
    <x v="0"/>
    <s v="Divorced"/>
    <x v="747"/>
    <n v="21214"/>
    <n v="4"/>
    <s v="Y"/>
    <s v="No"/>
    <n v="15"/>
    <n v="3"/>
    <n v="3"/>
    <n v="80"/>
    <n v="1"/>
    <n v="9"/>
    <n v="2"/>
    <n v="3"/>
    <n v="3"/>
    <n v="2"/>
    <n v="1"/>
    <n v="2"/>
    <s v="3-5 yrs"/>
  </r>
  <r>
    <n v="35"/>
    <x v="0"/>
    <s v="Travel_Rarely"/>
    <n v="1204"/>
    <x v="0"/>
    <n v="4"/>
    <n v="3"/>
    <s v="Technical Degree"/>
    <n v="1"/>
    <n v="1100"/>
    <n v="4"/>
    <s v="Male"/>
    <n v="86"/>
    <n v="3"/>
    <n v="3"/>
    <s v="Sales Executive"/>
    <x v="3"/>
    <s v="Single"/>
    <x v="748"/>
    <n v="10333"/>
    <n v="0"/>
    <s v="Y"/>
    <s v="Yes"/>
    <n v="22"/>
    <n v="4"/>
    <n v="1"/>
    <n v="80"/>
    <n v="0"/>
    <n v="9"/>
    <n v="2"/>
    <n v="3"/>
    <n v="8"/>
    <n v="7"/>
    <n v="4"/>
    <n v="7"/>
    <s v="5+ yrs"/>
  </r>
  <r>
    <n v="33"/>
    <x v="0"/>
    <s v="Travel_Frequently"/>
    <n v="827"/>
    <x v="1"/>
    <n v="29"/>
    <n v="4"/>
    <s v="Medical"/>
    <n v="1"/>
    <n v="1101"/>
    <n v="1"/>
    <s v="Female"/>
    <n v="54"/>
    <n v="2"/>
    <n v="2"/>
    <s v="Research Scientist"/>
    <x v="2"/>
    <s v="Single"/>
    <x v="749"/>
    <n v="3129"/>
    <n v="1"/>
    <s v="Y"/>
    <s v="No"/>
    <n v="22"/>
    <n v="4"/>
    <n v="2"/>
    <n v="80"/>
    <n v="0"/>
    <n v="14"/>
    <n v="4"/>
    <n v="3"/>
    <n v="13"/>
    <n v="7"/>
    <n v="3"/>
    <n v="8"/>
    <s v="5+ yrs"/>
  </r>
  <r>
    <n v="28"/>
    <x v="1"/>
    <s v="Travel_Rarely"/>
    <n v="895"/>
    <x v="1"/>
    <n v="15"/>
    <n v="2"/>
    <s v="Life Sciences"/>
    <n v="1"/>
    <n v="1102"/>
    <n v="1"/>
    <s v="Male"/>
    <n v="50"/>
    <n v="3"/>
    <n v="1"/>
    <s v="Laboratory Technician"/>
    <x v="2"/>
    <s v="Divorced"/>
    <x v="750"/>
    <n v="22482"/>
    <n v="1"/>
    <s v="Y"/>
    <s v="No"/>
    <n v="16"/>
    <n v="3"/>
    <n v="4"/>
    <n v="80"/>
    <n v="1"/>
    <n v="4"/>
    <n v="5"/>
    <n v="2"/>
    <n v="4"/>
    <n v="2"/>
    <n v="2"/>
    <n v="2"/>
    <s v="3-5 yrs"/>
  </r>
  <r>
    <n v="34"/>
    <x v="1"/>
    <s v="Travel_Frequently"/>
    <n v="618"/>
    <x v="1"/>
    <n v="3"/>
    <n v="1"/>
    <s v="Life Sciences"/>
    <n v="1"/>
    <n v="1103"/>
    <n v="1"/>
    <s v="Male"/>
    <n v="45"/>
    <n v="3"/>
    <n v="2"/>
    <s v="Healthcare Representative"/>
    <x v="0"/>
    <s v="Single"/>
    <x v="751"/>
    <n v="22266"/>
    <n v="0"/>
    <s v="Y"/>
    <s v="No"/>
    <n v="17"/>
    <n v="3"/>
    <n v="3"/>
    <n v="80"/>
    <n v="0"/>
    <n v="7"/>
    <n v="1"/>
    <n v="2"/>
    <n v="6"/>
    <n v="2"/>
    <n v="0"/>
    <n v="4"/>
    <s v="5+ yrs"/>
  </r>
  <r>
    <n v="37"/>
    <x v="1"/>
    <s v="Travel_Rarely"/>
    <n v="309"/>
    <x v="0"/>
    <n v="10"/>
    <n v="4"/>
    <s v="Life Sciences"/>
    <n v="1"/>
    <n v="1105"/>
    <n v="4"/>
    <s v="Female"/>
    <n v="88"/>
    <n v="2"/>
    <n v="2"/>
    <s v="Sales Executive"/>
    <x v="0"/>
    <s v="Divorced"/>
    <x v="752"/>
    <n v="24223"/>
    <n v="2"/>
    <s v="Y"/>
    <s v="Yes"/>
    <n v="14"/>
    <n v="3"/>
    <n v="3"/>
    <n v="80"/>
    <n v="3"/>
    <n v="8"/>
    <n v="5"/>
    <n v="3"/>
    <n v="1"/>
    <n v="0"/>
    <n v="0"/>
    <n v="0"/>
    <s v="0-2 yrs"/>
  </r>
  <r>
    <n v="25"/>
    <x v="0"/>
    <s v="Travel_Rarely"/>
    <n v="1219"/>
    <x v="1"/>
    <n v="4"/>
    <n v="1"/>
    <s v="Technical Degree"/>
    <n v="1"/>
    <n v="1106"/>
    <n v="4"/>
    <s v="Male"/>
    <n v="32"/>
    <n v="3"/>
    <n v="1"/>
    <s v="Laboratory Technician"/>
    <x v="0"/>
    <s v="Married"/>
    <x v="753"/>
    <n v="4605"/>
    <n v="1"/>
    <s v="Y"/>
    <s v="Yes"/>
    <n v="15"/>
    <n v="3"/>
    <n v="2"/>
    <n v="80"/>
    <n v="1"/>
    <n v="7"/>
    <n v="3"/>
    <n v="4"/>
    <n v="7"/>
    <n v="7"/>
    <n v="5"/>
    <n v="6"/>
    <s v="5+ yrs"/>
  </r>
  <r>
    <n v="26"/>
    <x v="0"/>
    <s v="Travel_Rarely"/>
    <n v="1330"/>
    <x v="1"/>
    <n v="21"/>
    <n v="3"/>
    <s v="Medical"/>
    <n v="1"/>
    <n v="1107"/>
    <n v="1"/>
    <s v="Male"/>
    <n v="37"/>
    <n v="3"/>
    <n v="1"/>
    <s v="Laboratory Technician"/>
    <x v="2"/>
    <s v="Divorced"/>
    <x v="638"/>
    <n v="19373"/>
    <n v="1"/>
    <s v="Y"/>
    <s v="No"/>
    <n v="20"/>
    <n v="4"/>
    <n v="3"/>
    <n v="80"/>
    <n v="1"/>
    <n v="1"/>
    <n v="0"/>
    <n v="2"/>
    <n v="1"/>
    <n v="1"/>
    <n v="0"/>
    <n v="0"/>
    <s v="0-2 yrs"/>
  </r>
  <r>
    <n v="33"/>
    <x v="0"/>
    <s v="Travel_Rarely"/>
    <n v="1017"/>
    <x v="1"/>
    <n v="25"/>
    <n v="3"/>
    <s v="Medical"/>
    <n v="1"/>
    <n v="1108"/>
    <n v="1"/>
    <s v="Male"/>
    <n v="55"/>
    <n v="2"/>
    <n v="1"/>
    <s v="Research Scientist"/>
    <x v="1"/>
    <s v="Single"/>
    <x v="754"/>
    <n v="2993"/>
    <n v="4"/>
    <s v="Y"/>
    <s v="Yes"/>
    <n v="20"/>
    <n v="4"/>
    <n v="2"/>
    <n v="80"/>
    <n v="0"/>
    <n v="5"/>
    <n v="0"/>
    <n v="3"/>
    <n v="2"/>
    <n v="2"/>
    <n v="2"/>
    <n v="2"/>
    <s v="0-2 yrs"/>
  </r>
  <r>
    <n v="42"/>
    <x v="1"/>
    <s v="Travel_Rarely"/>
    <n v="469"/>
    <x v="1"/>
    <n v="2"/>
    <n v="2"/>
    <s v="Medical"/>
    <n v="1"/>
    <n v="1109"/>
    <n v="4"/>
    <s v="Male"/>
    <n v="35"/>
    <n v="3"/>
    <n v="4"/>
    <s v="Manager"/>
    <x v="3"/>
    <s v="Married"/>
    <x v="755"/>
    <n v="14399"/>
    <n v="0"/>
    <s v="Y"/>
    <s v="No"/>
    <n v="17"/>
    <n v="3"/>
    <n v="4"/>
    <n v="80"/>
    <n v="1"/>
    <n v="23"/>
    <n v="3"/>
    <n v="3"/>
    <n v="22"/>
    <n v="6"/>
    <n v="13"/>
    <n v="7"/>
    <s v="5+ yrs"/>
  </r>
  <r>
    <n v="28"/>
    <x v="0"/>
    <s v="Travel_Frequently"/>
    <n v="1009"/>
    <x v="1"/>
    <n v="1"/>
    <n v="3"/>
    <s v="Medical"/>
    <n v="1"/>
    <n v="1111"/>
    <n v="1"/>
    <s v="Male"/>
    <n v="45"/>
    <n v="2"/>
    <n v="1"/>
    <s v="Laboratory Technician"/>
    <x v="1"/>
    <s v="Divorced"/>
    <x v="756"/>
    <n v="7160"/>
    <n v="1"/>
    <s v="Y"/>
    <s v="No"/>
    <n v="15"/>
    <n v="3"/>
    <n v="1"/>
    <n v="80"/>
    <n v="2"/>
    <n v="1"/>
    <n v="2"/>
    <n v="3"/>
    <n v="1"/>
    <n v="0"/>
    <n v="0"/>
    <n v="0"/>
    <s v="0-2 yrs"/>
  </r>
  <r>
    <n v="50"/>
    <x v="0"/>
    <s v="Travel_Frequently"/>
    <n v="959"/>
    <x v="0"/>
    <n v="1"/>
    <n v="4"/>
    <s v="Other"/>
    <n v="1"/>
    <n v="1113"/>
    <n v="4"/>
    <s v="Male"/>
    <n v="81"/>
    <n v="3"/>
    <n v="2"/>
    <s v="Sales Executive"/>
    <x v="2"/>
    <s v="Single"/>
    <x v="757"/>
    <n v="17251"/>
    <n v="3"/>
    <s v="Y"/>
    <s v="Yes"/>
    <n v="14"/>
    <n v="3"/>
    <n v="4"/>
    <n v="80"/>
    <n v="0"/>
    <n v="5"/>
    <n v="4"/>
    <n v="3"/>
    <n v="0"/>
    <n v="0"/>
    <n v="0"/>
    <n v="0"/>
    <s v="0-2 yrs"/>
  </r>
  <r>
    <n v="33"/>
    <x v="1"/>
    <s v="Travel_Frequently"/>
    <n v="970"/>
    <x v="0"/>
    <n v="7"/>
    <n v="3"/>
    <s v="Life Sciences"/>
    <n v="1"/>
    <n v="1114"/>
    <n v="4"/>
    <s v="Female"/>
    <n v="30"/>
    <n v="3"/>
    <n v="2"/>
    <s v="Sales Executive"/>
    <x v="1"/>
    <s v="Married"/>
    <x v="758"/>
    <n v="13401"/>
    <n v="0"/>
    <s v="Y"/>
    <s v="No"/>
    <n v="17"/>
    <n v="3"/>
    <n v="3"/>
    <n v="80"/>
    <n v="1"/>
    <n v="4"/>
    <n v="3"/>
    <n v="3"/>
    <n v="3"/>
    <n v="2"/>
    <n v="0"/>
    <n v="2"/>
    <s v="3-5 yrs"/>
  </r>
  <r>
    <n v="34"/>
    <x v="1"/>
    <s v="Non-Travel"/>
    <n v="697"/>
    <x v="1"/>
    <n v="3"/>
    <n v="4"/>
    <s v="Life Sciences"/>
    <n v="1"/>
    <n v="1115"/>
    <n v="3"/>
    <s v="Male"/>
    <n v="40"/>
    <n v="2"/>
    <n v="1"/>
    <s v="Research Scientist"/>
    <x v="0"/>
    <s v="Married"/>
    <x v="759"/>
    <n v="22478"/>
    <n v="3"/>
    <s v="Y"/>
    <s v="No"/>
    <n v="17"/>
    <n v="3"/>
    <n v="4"/>
    <n v="80"/>
    <n v="3"/>
    <n v="6"/>
    <n v="2"/>
    <n v="3"/>
    <n v="0"/>
    <n v="0"/>
    <n v="0"/>
    <n v="0"/>
    <s v="0-2 yrs"/>
  </r>
  <r>
    <n v="48"/>
    <x v="1"/>
    <s v="Non-Travel"/>
    <n v="1262"/>
    <x v="1"/>
    <n v="1"/>
    <n v="4"/>
    <s v="Medical"/>
    <n v="1"/>
    <n v="1116"/>
    <n v="1"/>
    <s v="Male"/>
    <n v="35"/>
    <n v="4"/>
    <n v="4"/>
    <s v="Manager"/>
    <x v="0"/>
    <s v="Single"/>
    <x v="760"/>
    <n v="16154"/>
    <n v="2"/>
    <s v="Y"/>
    <s v="No"/>
    <n v="22"/>
    <n v="4"/>
    <n v="3"/>
    <n v="80"/>
    <n v="0"/>
    <n v="27"/>
    <n v="3"/>
    <n v="2"/>
    <n v="5"/>
    <n v="4"/>
    <n v="2"/>
    <n v="1"/>
    <s v="3-5 yrs"/>
  </r>
  <r>
    <n v="45"/>
    <x v="1"/>
    <s v="Non-Travel"/>
    <n v="1050"/>
    <x v="0"/>
    <n v="9"/>
    <n v="4"/>
    <s v="Life Sciences"/>
    <n v="1"/>
    <n v="1117"/>
    <n v="2"/>
    <s v="Female"/>
    <n v="65"/>
    <n v="2"/>
    <n v="2"/>
    <s v="Sales Executive"/>
    <x v="2"/>
    <s v="Married"/>
    <x v="761"/>
    <n v="17970"/>
    <n v="1"/>
    <s v="Y"/>
    <s v="No"/>
    <n v="13"/>
    <n v="3"/>
    <n v="4"/>
    <n v="80"/>
    <n v="1"/>
    <n v="15"/>
    <n v="2"/>
    <n v="3"/>
    <n v="15"/>
    <n v="10"/>
    <n v="4"/>
    <n v="12"/>
    <s v="5+ yrs"/>
  </r>
  <r>
    <n v="52"/>
    <x v="1"/>
    <s v="Travel_Rarely"/>
    <n v="994"/>
    <x v="1"/>
    <n v="7"/>
    <n v="4"/>
    <s v="Life Sciences"/>
    <n v="1"/>
    <n v="1118"/>
    <n v="2"/>
    <s v="Male"/>
    <n v="87"/>
    <n v="3"/>
    <n v="3"/>
    <s v="Healthcare Representative"/>
    <x v="1"/>
    <s v="Single"/>
    <x v="762"/>
    <n v="15322"/>
    <n v="7"/>
    <s v="Y"/>
    <s v="No"/>
    <n v="19"/>
    <n v="3"/>
    <n v="4"/>
    <n v="80"/>
    <n v="0"/>
    <n v="18"/>
    <n v="4"/>
    <n v="3"/>
    <n v="8"/>
    <n v="6"/>
    <n v="4"/>
    <n v="0"/>
    <s v="5+ yrs"/>
  </r>
  <r>
    <n v="38"/>
    <x v="1"/>
    <s v="Travel_Rarely"/>
    <n v="770"/>
    <x v="0"/>
    <n v="10"/>
    <n v="4"/>
    <s v="Marketing"/>
    <n v="1"/>
    <n v="1119"/>
    <n v="3"/>
    <s v="Male"/>
    <n v="73"/>
    <n v="2"/>
    <n v="3"/>
    <s v="Sales Executive"/>
    <x v="2"/>
    <s v="Divorced"/>
    <x v="763"/>
    <n v="5569"/>
    <n v="0"/>
    <s v="Y"/>
    <s v="Yes"/>
    <n v="14"/>
    <n v="3"/>
    <n v="2"/>
    <n v="80"/>
    <n v="2"/>
    <n v="9"/>
    <n v="2"/>
    <n v="3"/>
    <n v="8"/>
    <n v="7"/>
    <n v="2"/>
    <n v="7"/>
    <s v="5+ yrs"/>
  </r>
  <r>
    <n v="29"/>
    <x v="1"/>
    <s v="Travel_Rarely"/>
    <n v="1107"/>
    <x v="1"/>
    <n v="28"/>
    <n v="4"/>
    <s v="Life Sciences"/>
    <n v="1"/>
    <n v="1120"/>
    <n v="3"/>
    <s v="Female"/>
    <n v="93"/>
    <n v="3"/>
    <n v="1"/>
    <s v="Research Scientist"/>
    <x v="0"/>
    <s v="Divorced"/>
    <x v="764"/>
    <n v="26968"/>
    <n v="4"/>
    <s v="Y"/>
    <s v="No"/>
    <n v="22"/>
    <n v="4"/>
    <n v="1"/>
    <n v="80"/>
    <n v="1"/>
    <n v="11"/>
    <n v="1"/>
    <n v="3"/>
    <n v="7"/>
    <n v="5"/>
    <n v="1"/>
    <n v="7"/>
    <s v="5+ yrs"/>
  </r>
  <r>
    <n v="28"/>
    <x v="1"/>
    <s v="Travel_Rarely"/>
    <n v="950"/>
    <x v="1"/>
    <n v="3"/>
    <n v="3"/>
    <s v="Medical"/>
    <n v="1"/>
    <n v="1121"/>
    <n v="4"/>
    <s v="Female"/>
    <n v="93"/>
    <n v="3"/>
    <n v="3"/>
    <s v="Manufacturing Director"/>
    <x v="1"/>
    <s v="Divorced"/>
    <x v="765"/>
    <n v="8039"/>
    <n v="0"/>
    <s v="Y"/>
    <s v="No"/>
    <n v="17"/>
    <n v="3"/>
    <n v="2"/>
    <n v="80"/>
    <n v="3"/>
    <n v="10"/>
    <n v="3"/>
    <n v="2"/>
    <n v="9"/>
    <n v="7"/>
    <n v="1"/>
    <n v="7"/>
    <s v="5+ yrs"/>
  </r>
  <r>
    <n v="46"/>
    <x v="1"/>
    <s v="Travel_Rarely"/>
    <n v="406"/>
    <x v="0"/>
    <n v="3"/>
    <n v="1"/>
    <s v="Marketing"/>
    <n v="1"/>
    <n v="1124"/>
    <n v="1"/>
    <s v="Male"/>
    <n v="52"/>
    <n v="3"/>
    <n v="4"/>
    <s v="Manager"/>
    <x v="2"/>
    <s v="Married"/>
    <x v="766"/>
    <n v="15596"/>
    <n v="3"/>
    <s v="Y"/>
    <s v="No"/>
    <n v="12"/>
    <n v="3"/>
    <n v="4"/>
    <n v="80"/>
    <n v="1"/>
    <n v="23"/>
    <n v="3"/>
    <n v="3"/>
    <n v="12"/>
    <n v="9"/>
    <n v="4"/>
    <n v="9"/>
    <s v="5+ yrs"/>
  </r>
  <r>
    <n v="38"/>
    <x v="1"/>
    <s v="Travel_Rarely"/>
    <n v="130"/>
    <x v="0"/>
    <n v="2"/>
    <n v="2"/>
    <s v="Marketing"/>
    <n v="1"/>
    <n v="1125"/>
    <n v="4"/>
    <s v="Male"/>
    <n v="32"/>
    <n v="3"/>
    <n v="3"/>
    <s v="Sales Executive"/>
    <x v="1"/>
    <s v="Single"/>
    <x v="767"/>
    <n v="20619"/>
    <n v="7"/>
    <s v="Y"/>
    <s v="No"/>
    <n v="16"/>
    <n v="3"/>
    <n v="3"/>
    <n v="80"/>
    <n v="0"/>
    <n v="10"/>
    <n v="2"/>
    <n v="3"/>
    <n v="1"/>
    <n v="0"/>
    <n v="0"/>
    <n v="0"/>
    <s v="0-2 yrs"/>
  </r>
  <r>
    <n v="43"/>
    <x v="1"/>
    <s v="Travel_Frequently"/>
    <n v="1082"/>
    <x v="1"/>
    <n v="27"/>
    <n v="3"/>
    <s v="Life Sciences"/>
    <n v="1"/>
    <n v="1126"/>
    <n v="3"/>
    <s v="Female"/>
    <n v="83"/>
    <n v="3"/>
    <n v="3"/>
    <s v="Manufacturing Director"/>
    <x v="3"/>
    <s v="Married"/>
    <x v="768"/>
    <n v="11535"/>
    <n v="8"/>
    <s v="Y"/>
    <s v="No"/>
    <n v="11"/>
    <n v="3"/>
    <n v="3"/>
    <n v="80"/>
    <n v="1"/>
    <n v="18"/>
    <n v="1"/>
    <n v="3"/>
    <n v="8"/>
    <n v="7"/>
    <n v="0"/>
    <n v="1"/>
    <s v="5+ yrs"/>
  </r>
  <r>
    <n v="39"/>
    <x v="0"/>
    <s v="Travel_Frequently"/>
    <n v="203"/>
    <x v="1"/>
    <n v="2"/>
    <n v="3"/>
    <s v="Life Sciences"/>
    <n v="1"/>
    <n v="1127"/>
    <n v="1"/>
    <s v="Male"/>
    <n v="84"/>
    <n v="3"/>
    <n v="4"/>
    <s v="Healthcare Representative"/>
    <x v="0"/>
    <s v="Divorced"/>
    <x v="769"/>
    <n v="13547"/>
    <n v="7"/>
    <s v="Y"/>
    <s v="No"/>
    <n v="11"/>
    <n v="3"/>
    <n v="4"/>
    <n v="80"/>
    <n v="3"/>
    <n v="21"/>
    <n v="4"/>
    <n v="3"/>
    <n v="18"/>
    <n v="7"/>
    <n v="11"/>
    <n v="5"/>
    <s v="5+ yrs"/>
  </r>
  <r>
    <n v="40"/>
    <x v="1"/>
    <s v="Travel_Rarely"/>
    <n v="1308"/>
    <x v="1"/>
    <n v="14"/>
    <n v="3"/>
    <s v="Medical"/>
    <n v="1"/>
    <n v="1128"/>
    <n v="3"/>
    <s v="Male"/>
    <n v="44"/>
    <n v="2"/>
    <n v="5"/>
    <s v="Research Director"/>
    <x v="2"/>
    <s v="Single"/>
    <x v="770"/>
    <n v="17544"/>
    <n v="1"/>
    <s v="Y"/>
    <s v="No"/>
    <n v="14"/>
    <n v="3"/>
    <n v="1"/>
    <n v="80"/>
    <n v="0"/>
    <n v="21"/>
    <n v="2"/>
    <n v="4"/>
    <n v="20"/>
    <n v="7"/>
    <n v="4"/>
    <n v="9"/>
    <s v="5+ yrs"/>
  </r>
  <r>
    <n v="21"/>
    <x v="1"/>
    <s v="Travel_Rarely"/>
    <n v="984"/>
    <x v="1"/>
    <n v="1"/>
    <n v="1"/>
    <s v="Technical Degree"/>
    <n v="1"/>
    <n v="1131"/>
    <n v="4"/>
    <s v="Female"/>
    <n v="70"/>
    <n v="2"/>
    <n v="1"/>
    <s v="Research Scientist"/>
    <x v="1"/>
    <s v="Single"/>
    <x v="266"/>
    <n v="25326"/>
    <n v="1"/>
    <s v="Y"/>
    <s v="Yes"/>
    <n v="11"/>
    <n v="3"/>
    <n v="3"/>
    <n v="80"/>
    <n v="0"/>
    <n v="2"/>
    <n v="6"/>
    <n v="4"/>
    <n v="2"/>
    <n v="2"/>
    <n v="2"/>
    <n v="2"/>
    <s v="0-2 yrs"/>
  </r>
  <r>
    <n v="39"/>
    <x v="1"/>
    <s v="Non-Travel"/>
    <n v="439"/>
    <x v="1"/>
    <n v="9"/>
    <n v="3"/>
    <s v="Life Sciences"/>
    <n v="1"/>
    <n v="1132"/>
    <n v="3"/>
    <s v="Male"/>
    <n v="70"/>
    <n v="3"/>
    <n v="2"/>
    <s v="Laboratory Technician"/>
    <x v="1"/>
    <s v="Single"/>
    <x v="771"/>
    <n v="8770"/>
    <n v="9"/>
    <s v="Y"/>
    <s v="No"/>
    <n v="15"/>
    <n v="3"/>
    <n v="3"/>
    <n v="80"/>
    <n v="0"/>
    <n v="9"/>
    <n v="2"/>
    <n v="2"/>
    <n v="5"/>
    <n v="4"/>
    <n v="0"/>
    <n v="3"/>
    <s v="3-5 yrs"/>
  </r>
  <r>
    <n v="36"/>
    <x v="1"/>
    <s v="Non-Travel"/>
    <n v="217"/>
    <x v="1"/>
    <n v="18"/>
    <n v="4"/>
    <s v="Life Sciences"/>
    <n v="1"/>
    <n v="1133"/>
    <n v="1"/>
    <s v="Male"/>
    <n v="78"/>
    <n v="3"/>
    <n v="2"/>
    <s v="Manufacturing Director"/>
    <x v="0"/>
    <s v="Single"/>
    <x v="772"/>
    <n v="23238"/>
    <n v="2"/>
    <s v="Y"/>
    <s v="No"/>
    <n v="20"/>
    <n v="4"/>
    <n v="1"/>
    <n v="80"/>
    <n v="0"/>
    <n v="18"/>
    <n v="0"/>
    <n v="3"/>
    <n v="11"/>
    <n v="9"/>
    <n v="0"/>
    <n v="9"/>
    <s v="5+ yrs"/>
  </r>
  <r>
    <n v="31"/>
    <x v="1"/>
    <s v="Travel_Frequently"/>
    <n v="793"/>
    <x v="0"/>
    <n v="20"/>
    <n v="3"/>
    <s v="Life Sciences"/>
    <n v="1"/>
    <n v="1135"/>
    <n v="3"/>
    <s v="Male"/>
    <n v="67"/>
    <n v="4"/>
    <n v="1"/>
    <s v="Sales Representative"/>
    <x v="0"/>
    <s v="Married"/>
    <x v="773"/>
    <n v="21981"/>
    <n v="0"/>
    <s v="Y"/>
    <s v="No"/>
    <n v="12"/>
    <n v="3"/>
    <n v="1"/>
    <n v="80"/>
    <n v="1"/>
    <n v="3"/>
    <n v="4"/>
    <n v="3"/>
    <n v="2"/>
    <n v="2"/>
    <n v="2"/>
    <n v="2"/>
    <s v="0-2 yrs"/>
  </r>
  <r>
    <n v="28"/>
    <x v="1"/>
    <s v="Travel_Rarely"/>
    <n v="1451"/>
    <x v="1"/>
    <n v="2"/>
    <n v="1"/>
    <s v="Life Sciences"/>
    <n v="1"/>
    <n v="1136"/>
    <n v="1"/>
    <s v="Male"/>
    <n v="67"/>
    <n v="2"/>
    <n v="1"/>
    <s v="Research Scientist"/>
    <x v="1"/>
    <s v="Married"/>
    <x v="774"/>
    <n v="19911"/>
    <n v="0"/>
    <s v="Y"/>
    <s v="No"/>
    <n v="17"/>
    <n v="3"/>
    <n v="1"/>
    <n v="80"/>
    <n v="0"/>
    <n v="6"/>
    <n v="2"/>
    <n v="1"/>
    <n v="5"/>
    <n v="3"/>
    <n v="0"/>
    <n v="4"/>
    <s v="3-5 yrs"/>
  </r>
  <r>
    <n v="35"/>
    <x v="1"/>
    <s v="Travel_Frequently"/>
    <n v="1182"/>
    <x v="0"/>
    <n v="11"/>
    <n v="2"/>
    <s v="Marketing"/>
    <n v="1"/>
    <n v="1137"/>
    <n v="4"/>
    <s v="Male"/>
    <n v="54"/>
    <n v="3"/>
    <n v="2"/>
    <s v="Sales Executive"/>
    <x v="0"/>
    <s v="Divorced"/>
    <x v="775"/>
    <n v="18500"/>
    <n v="1"/>
    <s v="Y"/>
    <s v="No"/>
    <n v="11"/>
    <n v="3"/>
    <n v="4"/>
    <n v="80"/>
    <n v="1"/>
    <n v="5"/>
    <n v="3"/>
    <n v="3"/>
    <n v="5"/>
    <n v="2"/>
    <n v="0"/>
    <n v="2"/>
    <s v="3-5 yrs"/>
  </r>
  <r>
    <n v="49"/>
    <x v="1"/>
    <s v="Travel_Rarely"/>
    <n v="174"/>
    <x v="0"/>
    <n v="8"/>
    <n v="4"/>
    <s v="Technical Degree"/>
    <n v="1"/>
    <n v="1138"/>
    <n v="4"/>
    <s v="Male"/>
    <n v="56"/>
    <n v="2"/>
    <n v="4"/>
    <s v="Sales Executive"/>
    <x v="1"/>
    <s v="Married"/>
    <x v="776"/>
    <n v="11879"/>
    <n v="6"/>
    <s v="Y"/>
    <s v="No"/>
    <n v="17"/>
    <n v="3"/>
    <n v="2"/>
    <n v="80"/>
    <n v="1"/>
    <n v="22"/>
    <n v="3"/>
    <n v="3"/>
    <n v="9"/>
    <n v="8"/>
    <n v="2"/>
    <n v="3"/>
    <s v="5+ yrs"/>
  </r>
  <r>
    <n v="34"/>
    <x v="1"/>
    <s v="Travel_Frequently"/>
    <n v="1003"/>
    <x v="1"/>
    <n v="2"/>
    <n v="2"/>
    <s v="Life Sciences"/>
    <n v="1"/>
    <n v="1140"/>
    <n v="4"/>
    <s v="Male"/>
    <n v="95"/>
    <n v="3"/>
    <n v="2"/>
    <s v="Manufacturing Director"/>
    <x v="2"/>
    <s v="Single"/>
    <x v="777"/>
    <n v="15834"/>
    <n v="2"/>
    <s v="Y"/>
    <s v="No"/>
    <n v="11"/>
    <n v="3"/>
    <n v="4"/>
    <n v="80"/>
    <n v="0"/>
    <n v="5"/>
    <n v="3"/>
    <n v="2"/>
    <n v="3"/>
    <n v="2"/>
    <n v="0"/>
    <n v="2"/>
    <s v="3-5 yrs"/>
  </r>
  <r>
    <n v="29"/>
    <x v="1"/>
    <s v="Travel_Frequently"/>
    <n v="490"/>
    <x v="1"/>
    <n v="10"/>
    <n v="3"/>
    <s v="Life Sciences"/>
    <n v="1"/>
    <n v="1143"/>
    <n v="4"/>
    <s v="Female"/>
    <n v="61"/>
    <n v="3"/>
    <n v="1"/>
    <s v="Research Scientist"/>
    <x v="1"/>
    <s v="Divorced"/>
    <x v="778"/>
    <n v="17940"/>
    <n v="0"/>
    <s v="Y"/>
    <s v="No"/>
    <n v="14"/>
    <n v="3"/>
    <n v="4"/>
    <n v="80"/>
    <n v="2"/>
    <n v="8"/>
    <n v="2"/>
    <n v="2"/>
    <n v="7"/>
    <n v="5"/>
    <n v="1"/>
    <n v="1"/>
    <s v="5+ yrs"/>
  </r>
  <r>
    <n v="42"/>
    <x v="1"/>
    <s v="Travel_Rarely"/>
    <n v="188"/>
    <x v="1"/>
    <n v="29"/>
    <n v="3"/>
    <s v="Medical"/>
    <n v="1"/>
    <n v="1148"/>
    <n v="2"/>
    <s v="Male"/>
    <n v="56"/>
    <n v="1"/>
    <n v="2"/>
    <s v="Laboratory Technician"/>
    <x v="0"/>
    <s v="Single"/>
    <x v="779"/>
    <n v="9558"/>
    <n v="4"/>
    <s v="Y"/>
    <s v="No"/>
    <n v="19"/>
    <n v="3"/>
    <n v="1"/>
    <n v="80"/>
    <n v="0"/>
    <n v="16"/>
    <n v="3"/>
    <n v="3"/>
    <n v="1"/>
    <n v="0"/>
    <n v="0"/>
    <n v="0"/>
    <s v="0-2 yrs"/>
  </r>
  <r>
    <n v="29"/>
    <x v="1"/>
    <s v="Travel_Rarely"/>
    <n v="718"/>
    <x v="1"/>
    <n v="8"/>
    <n v="1"/>
    <s v="Medical"/>
    <n v="1"/>
    <n v="1150"/>
    <n v="2"/>
    <s v="Male"/>
    <n v="79"/>
    <n v="2"/>
    <n v="2"/>
    <s v="Manufacturing Director"/>
    <x v="0"/>
    <s v="Married"/>
    <x v="780"/>
    <n v="17689"/>
    <n v="1"/>
    <s v="Y"/>
    <s v="Yes"/>
    <n v="15"/>
    <n v="3"/>
    <n v="3"/>
    <n v="80"/>
    <n v="1"/>
    <n v="10"/>
    <n v="2"/>
    <n v="2"/>
    <n v="10"/>
    <n v="7"/>
    <n v="1"/>
    <n v="2"/>
    <s v="5+ yrs"/>
  </r>
  <r>
    <n v="38"/>
    <x v="1"/>
    <s v="Travel_Rarely"/>
    <n v="433"/>
    <x v="2"/>
    <n v="1"/>
    <n v="3"/>
    <s v="Human Resources"/>
    <n v="1"/>
    <n v="1152"/>
    <n v="3"/>
    <s v="Male"/>
    <n v="37"/>
    <n v="4"/>
    <n v="1"/>
    <s v="Human Resources"/>
    <x v="2"/>
    <s v="Married"/>
    <x v="781"/>
    <n v="6004"/>
    <n v="1"/>
    <s v="Y"/>
    <s v="No"/>
    <n v="13"/>
    <n v="3"/>
    <n v="4"/>
    <n v="80"/>
    <n v="1"/>
    <n v="7"/>
    <n v="2"/>
    <n v="4"/>
    <n v="7"/>
    <n v="6"/>
    <n v="5"/>
    <n v="0"/>
    <s v="5+ yrs"/>
  </r>
  <r>
    <n v="28"/>
    <x v="1"/>
    <s v="Travel_Frequently"/>
    <n v="773"/>
    <x v="1"/>
    <n v="6"/>
    <n v="3"/>
    <s v="Life Sciences"/>
    <n v="1"/>
    <n v="1154"/>
    <n v="3"/>
    <s v="Male"/>
    <n v="39"/>
    <n v="2"/>
    <n v="1"/>
    <s v="Research Scientist"/>
    <x v="2"/>
    <s v="Divorced"/>
    <x v="68"/>
    <n v="22088"/>
    <n v="1"/>
    <s v="Y"/>
    <s v="Yes"/>
    <n v="14"/>
    <n v="3"/>
    <n v="4"/>
    <n v="80"/>
    <n v="1"/>
    <n v="3"/>
    <n v="2"/>
    <n v="3"/>
    <n v="3"/>
    <n v="1"/>
    <n v="0"/>
    <n v="2"/>
    <s v="3-5 yrs"/>
  </r>
  <r>
    <n v="18"/>
    <x v="0"/>
    <s v="Non-Travel"/>
    <n v="247"/>
    <x v="1"/>
    <n v="8"/>
    <n v="1"/>
    <s v="Medical"/>
    <n v="1"/>
    <n v="1156"/>
    <n v="3"/>
    <s v="Male"/>
    <n v="80"/>
    <n v="3"/>
    <n v="1"/>
    <s v="Laboratory Technician"/>
    <x v="2"/>
    <s v="Single"/>
    <x v="782"/>
    <n v="13556"/>
    <n v="1"/>
    <s v="Y"/>
    <s v="No"/>
    <n v="12"/>
    <n v="3"/>
    <n v="4"/>
    <n v="80"/>
    <n v="0"/>
    <n v="0"/>
    <n v="0"/>
    <n v="3"/>
    <n v="0"/>
    <n v="0"/>
    <n v="0"/>
    <n v="0"/>
    <s v="0-2 yrs"/>
  </r>
  <r>
    <n v="33"/>
    <x v="0"/>
    <s v="Travel_Rarely"/>
    <n v="603"/>
    <x v="0"/>
    <n v="9"/>
    <n v="4"/>
    <s v="Marketing"/>
    <n v="1"/>
    <n v="1157"/>
    <n v="1"/>
    <s v="Female"/>
    <n v="77"/>
    <n v="3"/>
    <n v="2"/>
    <s v="Sales Executive"/>
    <x v="3"/>
    <s v="Single"/>
    <x v="783"/>
    <n v="18385"/>
    <n v="0"/>
    <s v="Y"/>
    <s v="Yes"/>
    <n v="17"/>
    <n v="3"/>
    <n v="1"/>
    <n v="80"/>
    <n v="0"/>
    <n v="6"/>
    <n v="3"/>
    <n v="3"/>
    <n v="5"/>
    <n v="2"/>
    <n v="0"/>
    <n v="3"/>
    <s v="3-5 yrs"/>
  </r>
  <r>
    <n v="41"/>
    <x v="1"/>
    <s v="Travel_Rarely"/>
    <n v="167"/>
    <x v="1"/>
    <n v="12"/>
    <n v="4"/>
    <s v="Life Sciences"/>
    <n v="1"/>
    <n v="1158"/>
    <n v="2"/>
    <s v="Male"/>
    <n v="46"/>
    <n v="3"/>
    <n v="1"/>
    <s v="Laboratory Technician"/>
    <x v="0"/>
    <s v="Married"/>
    <x v="784"/>
    <n v="9051"/>
    <n v="3"/>
    <s v="Y"/>
    <s v="Yes"/>
    <n v="11"/>
    <n v="3"/>
    <n v="1"/>
    <n v="80"/>
    <n v="1"/>
    <n v="6"/>
    <n v="4"/>
    <n v="3"/>
    <n v="1"/>
    <n v="0"/>
    <n v="0"/>
    <n v="0"/>
    <s v="0-2 yrs"/>
  </r>
  <r>
    <n v="31"/>
    <x v="0"/>
    <s v="Travel_Frequently"/>
    <n v="874"/>
    <x v="1"/>
    <n v="15"/>
    <n v="3"/>
    <s v="Medical"/>
    <n v="1"/>
    <n v="1160"/>
    <n v="3"/>
    <s v="Male"/>
    <n v="72"/>
    <n v="3"/>
    <n v="1"/>
    <s v="Laboratory Technician"/>
    <x v="2"/>
    <s v="Married"/>
    <x v="353"/>
    <n v="6233"/>
    <n v="1"/>
    <s v="Y"/>
    <s v="No"/>
    <n v="12"/>
    <n v="3"/>
    <n v="3"/>
    <n v="80"/>
    <n v="1"/>
    <n v="2"/>
    <n v="5"/>
    <n v="2"/>
    <n v="2"/>
    <n v="2"/>
    <n v="2"/>
    <n v="2"/>
    <s v="0-2 yrs"/>
  </r>
  <r>
    <n v="37"/>
    <x v="1"/>
    <s v="Travel_Rarely"/>
    <n v="367"/>
    <x v="1"/>
    <n v="25"/>
    <n v="2"/>
    <s v="Medical"/>
    <n v="1"/>
    <n v="1161"/>
    <n v="3"/>
    <s v="Female"/>
    <n v="52"/>
    <n v="2"/>
    <n v="2"/>
    <s v="Healthcare Representative"/>
    <x v="0"/>
    <s v="Divorced"/>
    <x v="785"/>
    <n v="17171"/>
    <n v="7"/>
    <s v="Y"/>
    <s v="No"/>
    <n v="13"/>
    <n v="3"/>
    <n v="3"/>
    <n v="80"/>
    <n v="2"/>
    <n v="9"/>
    <n v="2"/>
    <n v="3"/>
    <n v="6"/>
    <n v="2"/>
    <n v="1"/>
    <n v="3"/>
    <s v="5+ yrs"/>
  </r>
  <r>
    <n v="27"/>
    <x v="1"/>
    <s v="Travel_Rarely"/>
    <n v="199"/>
    <x v="1"/>
    <n v="6"/>
    <n v="3"/>
    <s v="Life Sciences"/>
    <n v="1"/>
    <n v="1162"/>
    <n v="4"/>
    <s v="Male"/>
    <n v="55"/>
    <n v="2"/>
    <n v="1"/>
    <s v="Research Scientist"/>
    <x v="2"/>
    <s v="Married"/>
    <x v="786"/>
    <n v="7950"/>
    <n v="1"/>
    <s v="Y"/>
    <s v="No"/>
    <n v="13"/>
    <n v="3"/>
    <n v="3"/>
    <n v="80"/>
    <n v="1"/>
    <n v="4"/>
    <n v="0"/>
    <n v="3"/>
    <n v="4"/>
    <n v="2"/>
    <n v="2"/>
    <n v="2"/>
    <s v="3-5 yrs"/>
  </r>
  <r>
    <n v="34"/>
    <x v="1"/>
    <s v="Travel_Rarely"/>
    <n v="1400"/>
    <x v="0"/>
    <n v="9"/>
    <n v="1"/>
    <s v="Life Sciences"/>
    <n v="1"/>
    <n v="1163"/>
    <n v="2"/>
    <s v="Female"/>
    <n v="70"/>
    <n v="3"/>
    <n v="2"/>
    <s v="Sales Executive"/>
    <x v="2"/>
    <s v="Married"/>
    <x v="787"/>
    <n v="5829"/>
    <n v="1"/>
    <s v="Y"/>
    <s v="No"/>
    <n v="20"/>
    <n v="4"/>
    <n v="1"/>
    <n v="80"/>
    <n v="0"/>
    <n v="6"/>
    <n v="3"/>
    <n v="2"/>
    <n v="6"/>
    <n v="5"/>
    <n v="1"/>
    <n v="3"/>
    <s v="5+ yrs"/>
  </r>
  <r>
    <n v="35"/>
    <x v="1"/>
    <s v="Travel_Rarely"/>
    <n v="528"/>
    <x v="2"/>
    <n v="8"/>
    <n v="4"/>
    <s v="Technical Degree"/>
    <n v="1"/>
    <n v="1164"/>
    <n v="3"/>
    <s v="Male"/>
    <n v="100"/>
    <n v="3"/>
    <n v="1"/>
    <s v="Human Resources"/>
    <x v="2"/>
    <s v="Single"/>
    <x v="788"/>
    <n v="7108"/>
    <n v="1"/>
    <s v="Y"/>
    <s v="No"/>
    <n v="17"/>
    <n v="3"/>
    <n v="2"/>
    <n v="80"/>
    <n v="0"/>
    <n v="6"/>
    <n v="2"/>
    <n v="1"/>
    <n v="5"/>
    <n v="4"/>
    <n v="1"/>
    <n v="4"/>
    <s v="3-5 yrs"/>
  </r>
  <r>
    <n v="29"/>
    <x v="0"/>
    <s v="Travel_Rarely"/>
    <n v="408"/>
    <x v="0"/>
    <n v="23"/>
    <n v="1"/>
    <s v="Life Sciences"/>
    <n v="1"/>
    <n v="1165"/>
    <n v="4"/>
    <s v="Female"/>
    <n v="45"/>
    <n v="2"/>
    <n v="3"/>
    <s v="Sales Executive"/>
    <x v="3"/>
    <s v="Married"/>
    <x v="789"/>
    <n v="11162"/>
    <n v="1"/>
    <s v="Y"/>
    <s v="No"/>
    <n v="13"/>
    <n v="3"/>
    <n v="1"/>
    <n v="80"/>
    <n v="1"/>
    <n v="11"/>
    <n v="3"/>
    <n v="1"/>
    <n v="11"/>
    <n v="8"/>
    <n v="3"/>
    <n v="10"/>
    <s v="5+ yrs"/>
  </r>
  <r>
    <n v="40"/>
    <x v="1"/>
    <s v="Travel_Frequently"/>
    <n v="593"/>
    <x v="1"/>
    <n v="9"/>
    <n v="4"/>
    <s v="Medical"/>
    <n v="1"/>
    <n v="1166"/>
    <n v="2"/>
    <s v="Female"/>
    <n v="88"/>
    <n v="3"/>
    <n v="3"/>
    <s v="Research Director"/>
    <x v="2"/>
    <s v="Single"/>
    <x v="790"/>
    <n v="13782"/>
    <n v="9"/>
    <s v="Y"/>
    <s v="No"/>
    <n v="17"/>
    <n v="3"/>
    <n v="3"/>
    <n v="80"/>
    <n v="0"/>
    <n v="20"/>
    <n v="3"/>
    <n v="2"/>
    <n v="18"/>
    <n v="7"/>
    <n v="2"/>
    <n v="13"/>
    <s v="5+ yrs"/>
  </r>
  <r>
    <n v="42"/>
    <x v="0"/>
    <s v="Travel_Frequently"/>
    <n v="481"/>
    <x v="0"/>
    <n v="12"/>
    <n v="3"/>
    <s v="Life Sciences"/>
    <n v="1"/>
    <n v="1167"/>
    <n v="3"/>
    <s v="Male"/>
    <n v="44"/>
    <n v="3"/>
    <n v="4"/>
    <s v="Sales Executive"/>
    <x v="3"/>
    <s v="Single"/>
    <x v="791"/>
    <n v="2447"/>
    <n v="0"/>
    <s v="Y"/>
    <s v="Yes"/>
    <n v="12"/>
    <n v="3"/>
    <n v="2"/>
    <n v="80"/>
    <n v="0"/>
    <n v="22"/>
    <n v="2"/>
    <n v="2"/>
    <n v="21"/>
    <n v="9"/>
    <n v="13"/>
    <n v="14"/>
    <s v="5+ yrs"/>
  </r>
  <r>
    <n v="42"/>
    <x v="1"/>
    <s v="Travel_Rarely"/>
    <n v="647"/>
    <x v="0"/>
    <n v="4"/>
    <n v="4"/>
    <s v="Marketing"/>
    <n v="1"/>
    <n v="1171"/>
    <n v="2"/>
    <s v="Male"/>
    <n v="45"/>
    <n v="3"/>
    <n v="2"/>
    <s v="Sales Executive"/>
    <x v="3"/>
    <s v="Single"/>
    <x v="792"/>
    <n v="2253"/>
    <n v="7"/>
    <s v="Y"/>
    <s v="No"/>
    <n v="13"/>
    <n v="3"/>
    <n v="4"/>
    <n v="80"/>
    <n v="0"/>
    <n v="9"/>
    <n v="3"/>
    <n v="4"/>
    <n v="6"/>
    <n v="4"/>
    <n v="1"/>
    <n v="5"/>
    <s v="5+ yrs"/>
  </r>
  <r>
    <n v="35"/>
    <x v="1"/>
    <s v="Travel_Rarely"/>
    <n v="982"/>
    <x v="1"/>
    <n v="1"/>
    <n v="4"/>
    <s v="Medical"/>
    <n v="1"/>
    <n v="1172"/>
    <n v="4"/>
    <s v="Male"/>
    <n v="58"/>
    <n v="2"/>
    <n v="1"/>
    <s v="Laboratory Technician"/>
    <x v="2"/>
    <s v="Married"/>
    <x v="384"/>
    <n v="16340"/>
    <n v="6"/>
    <s v="Y"/>
    <s v="No"/>
    <n v="12"/>
    <n v="3"/>
    <n v="2"/>
    <n v="80"/>
    <n v="1"/>
    <n v="10"/>
    <n v="2"/>
    <n v="3"/>
    <n v="8"/>
    <n v="0"/>
    <n v="1"/>
    <n v="7"/>
    <s v="5+ yrs"/>
  </r>
  <r>
    <n v="24"/>
    <x v="1"/>
    <s v="Travel_Rarely"/>
    <n v="477"/>
    <x v="1"/>
    <n v="24"/>
    <n v="3"/>
    <s v="Medical"/>
    <n v="1"/>
    <n v="1173"/>
    <n v="4"/>
    <s v="Male"/>
    <n v="49"/>
    <n v="3"/>
    <n v="1"/>
    <s v="Laboratory Technician"/>
    <x v="1"/>
    <s v="Single"/>
    <x v="793"/>
    <n v="6409"/>
    <n v="8"/>
    <s v="Y"/>
    <s v="No"/>
    <n v="22"/>
    <n v="4"/>
    <n v="4"/>
    <n v="80"/>
    <n v="0"/>
    <n v="6"/>
    <n v="2"/>
    <n v="3"/>
    <n v="4"/>
    <n v="3"/>
    <n v="1"/>
    <n v="2"/>
    <s v="3-5 yrs"/>
  </r>
  <r>
    <n v="28"/>
    <x v="0"/>
    <s v="Travel_Rarely"/>
    <n v="1485"/>
    <x v="1"/>
    <n v="12"/>
    <n v="1"/>
    <s v="Life Sciences"/>
    <n v="1"/>
    <n v="1175"/>
    <n v="3"/>
    <s v="Female"/>
    <n v="79"/>
    <n v="3"/>
    <n v="1"/>
    <s v="Laboratory Technician"/>
    <x v="0"/>
    <s v="Married"/>
    <x v="605"/>
    <n v="22955"/>
    <n v="1"/>
    <s v="Y"/>
    <s v="Yes"/>
    <n v="11"/>
    <n v="3"/>
    <n v="4"/>
    <n v="80"/>
    <n v="0"/>
    <n v="1"/>
    <n v="4"/>
    <n v="2"/>
    <n v="1"/>
    <n v="1"/>
    <n v="0"/>
    <n v="0"/>
    <s v="0-2 yrs"/>
  </r>
  <r>
    <n v="26"/>
    <x v="1"/>
    <s v="Travel_Rarely"/>
    <n v="1384"/>
    <x v="1"/>
    <n v="3"/>
    <n v="4"/>
    <s v="Medical"/>
    <n v="1"/>
    <n v="1177"/>
    <n v="1"/>
    <s v="Male"/>
    <n v="82"/>
    <n v="4"/>
    <n v="1"/>
    <s v="Laboratory Technician"/>
    <x v="0"/>
    <s v="Married"/>
    <x v="794"/>
    <n v="13421"/>
    <n v="1"/>
    <s v="Y"/>
    <s v="No"/>
    <n v="22"/>
    <n v="4"/>
    <n v="2"/>
    <n v="80"/>
    <n v="1"/>
    <n v="8"/>
    <n v="2"/>
    <n v="3"/>
    <n v="8"/>
    <n v="7"/>
    <n v="0"/>
    <n v="7"/>
    <s v="5+ yrs"/>
  </r>
  <r>
    <n v="30"/>
    <x v="1"/>
    <s v="Travel_Rarely"/>
    <n v="852"/>
    <x v="0"/>
    <n v="10"/>
    <n v="3"/>
    <s v="Marketing"/>
    <n v="1"/>
    <n v="1179"/>
    <n v="3"/>
    <s v="Male"/>
    <n v="72"/>
    <n v="2"/>
    <n v="2"/>
    <s v="Sales Executive"/>
    <x v="2"/>
    <s v="Married"/>
    <x v="795"/>
    <n v="2706"/>
    <n v="1"/>
    <s v="Y"/>
    <s v="No"/>
    <n v="18"/>
    <n v="3"/>
    <n v="1"/>
    <n v="80"/>
    <n v="1"/>
    <n v="10"/>
    <n v="3"/>
    <n v="3"/>
    <n v="10"/>
    <n v="3"/>
    <n v="1"/>
    <n v="4"/>
    <s v="5+ yrs"/>
  </r>
  <r>
    <n v="40"/>
    <x v="1"/>
    <s v="Travel_Frequently"/>
    <n v="902"/>
    <x v="1"/>
    <n v="26"/>
    <n v="2"/>
    <s v="Medical"/>
    <n v="1"/>
    <n v="1180"/>
    <n v="3"/>
    <s v="Female"/>
    <n v="92"/>
    <n v="2"/>
    <n v="2"/>
    <s v="Research Scientist"/>
    <x v="0"/>
    <s v="Married"/>
    <x v="796"/>
    <n v="21203"/>
    <n v="3"/>
    <s v="Y"/>
    <s v="Yes"/>
    <n v="13"/>
    <n v="3"/>
    <n v="4"/>
    <n v="80"/>
    <n v="1"/>
    <n v="16"/>
    <n v="3"/>
    <n v="1"/>
    <n v="1"/>
    <n v="1"/>
    <n v="0"/>
    <n v="0"/>
    <s v="0-2 yrs"/>
  </r>
  <r>
    <n v="35"/>
    <x v="1"/>
    <s v="Travel_Rarely"/>
    <n v="819"/>
    <x v="1"/>
    <n v="2"/>
    <n v="3"/>
    <s v="Life Sciences"/>
    <n v="1"/>
    <n v="1182"/>
    <n v="3"/>
    <s v="Male"/>
    <n v="44"/>
    <n v="2"/>
    <n v="3"/>
    <s v="Manufacturing Director"/>
    <x v="1"/>
    <s v="Divorced"/>
    <x v="797"/>
    <n v="19588"/>
    <n v="2"/>
    <s v="Y"/>
    <s v="No"/>
    <n v="18"/>
    <n v="3"/>
    <n v="2"/>
    <n v="80"/>
    <n v="1"/>
    <n v="15"/>
    <n v="2"/>
    <n v="4"/>
    <n v="7"/>
    <n v="7"/>
    <n v="6"/>
    <n v="4"/>
    <s v="5+ yrs"/>
  </r>
  <r>
    <n v="34"/>
    <x v="1"/>
    <s v="Travel_Frequently"/>
    <n v="669"/>
    <x v="1"/>
    <n v="1"/>
    <n v="3"/>
    <s v="Medical"/>
    <n v="1"/>
    <n v="1184"/>
    <n v="4"/>
    <s v="Male"/>
    <n v="97"/>
    <n v="2"/>
    <n v="2"/>
    <s v="Healthcare Representative"/>
    <x v="3"/>
    <s v="Single"/>
    <x v="798"/>
    <n v="25755"/>
    <n v="0"/>
    <s v="Y"/>
    <s v="No"/>
    <n v="20"/>
    <n v="4"/>
    <n v="3"/>
    <n v="80"/>
    <n v="0"/>
    <n v="14"/>
    <n v="3"/>
    <n v="3"/>
    <n v="13"/>
    <n v="9"/>
    <n v="4"/>
    <n v="9"/>
    <s v="5+ yrs"/>
  </r>
  <r>
    <n v="35"/>
    <x v="1"/>
    <s v="Travel_Frequently"/>
    <n v="636"/>
    <x v="1"/>
    <n v="4"/>
    <n v="4"/>
    <s v="Other"/>
    <n v="1"/>
    <n v="1185"/>
    <n v="4"/>
    <s v="Male"/>
    <n v="47"/>
    <n v="2"/>
    <n v="1"/>
    <s v="Laboratory Technician"/>
    <x v="0"/>
    <s v="Married"/>
    <x v="799"/>
    <n v="26537"/>
    <n v="1"/>
    <s v="Y"/>
    <s v="No"/>
    <n v="13"/>
    <n v="3"/>
    <n v="2"/>
    <n v="80"/>
    <n v="1"/>
    <n v="2"/>
    <n v="2"/>
    <n v="4"/>
    <n v="2"/>
    <n v="2"/>
    <n v="2"/>
    <n v="2"/>
    <s v="0-2 yrs"/>
  </r>
  <r>
    <n v="43"/>
    <x v="0"/>
    <s v="Travel_Rarely"/>
    <n v="1372"/>
    <x v="0"/>
    <n v="9"/>
    <n v="3"/>
    <s v="Marketing"/>
    <n v="1"/>
    <n v="1188"/>
    <n v="1"/>
    <s v="Female"/>
    <n v="85"/>
    <n v="1"/>
    <n v="2"/>
    <s v="Sales Executive"/>
    <x v="2"/>
    <s v="Single"/>
    <x v="800"/>
    <n v="9489"/>
    <n v="8"/>
    <s v="Y"/>
    <s v="No"/>
    <n v="13"/>
    <n v="3"/>
    <n v="2"/>
    <n v="80"/>
    <n v="0"/>
    <n v="7"/>
    <n v="2"/>
    <n v="2"/>
    <n v="4"/>
    <n v="3"/>
    <n v="1"/>
    <n v="3"/>
    <s v="3-5 yrs"/>
  </r>
  <r>
    <n v="32"/>
    <x v="1"/>
    <s v="Non-Travel"/>
    <n v="862"/>
    <x v="0"/>
    <n v="2"/>
    <n v="1"/>
    <s v="Life Sciences"/>
    <n v="1"/>
    <n v="1190"/>
    <n v="3"/>
    <s v="Female"/>
    <n v="76"/>
    <n v="3"/>
    <n v="1"/>
    <s v="Sales Representative"/>
    <x v="3"/>
    <s v="Divorced"/>
    <x v="801"/>
    <n v="14947"/>
    <n v="1"/>
    <s v="Y"/>
    <s v="No"/>
    <n v="12"/>
    <n v="3"/>
    <n v="3"/>
    <n v="80"/>
    <n v="3"/>
    <n v="1"/>
    <n v="3"/>
    <n v="3"/>
    <n v="1"/>
    <n v="0"/>
    <n v="0"/>
    <n v="0"/>
    <s v="0-2 yrs"/>
  </r>
  <r>
    <n v="56"/>
    <x v="1"/>
    <s v="Travel_Rarely"/>
    <n v="718"/>
    <x v="1"/>
    <n v="4"/>
    <n v="4"/>
    <s v="Technical Degree"/>
    <n v="1"/>
    <n v="1191"/>
    <n v="4"/>
    <s v="Female"/>
    <n v="92"/>
    <n v="3"/>
    <n v="5"/>
    <s v="Manager"/>
    <x v="3"/>
    <s v="Divorced"/>
    <x v="802"/>
    <n v="18575"/>
    <n v="4"/>
    <s v="Y"/>
    <s v="No"/>
    <n v="13"/>
    <n v="3"/>
    <n v="4"/>
    <n v="80"/>
    <n v="1"/>
    <n v="28"/>
    <n v="2"/>
    <n v="3"/>
    <n v="5"/>
    <n v="2"/>
    <n v="4"/>
    <n v="2"/>
    <s v="3-5 yrs"/>
  </r>
  <r>
    <n v="29"/>
    <x v="1"/>
    <s v="Travel_Rarely"/>
    <n v="1401"/>
    <x v="1"/>
    <n v="6"/>
    <n v="1"/>
    <s v="Medical"/>
    <n v="1"/>
    <n v="1192"/>
    <n v="2"/>
    <s v="Female"/>
    <n v="54"/>
    <n v="3"/>
    <n v="1"/>
    <s v="Laboratory Technician"/>
    <x v="0"/>
    <s v="Married"/>
    <x v="803"/>
    <n v="26342"/>
    <n v="1"/>
    <s v="Y"/>
    <s v="No"/>
    <n v="13"/>
    <n v="3"/>
    <n v="1"/>
    <n v="80"/>
    <n v="1"/>
    <n v="10"/>
    <n v="5"/>
    <n v="3"/>
    <n v="10"/>
    <n v="8"/>
    <n v="0"/>
    <n v="8"/>
    <s v="5+ yrs"/>
  </r>
  <r>
    <n v="19"/>
    <x v="1"/>
    <s v="Travel_Rarely"/>
    <n v="645"/>
    <x v="1"/>
    <n v="9"/>
    <n v="2"/>
    <s v="Life Sciences"/>
    <n v="1"/>
    <n v="1193"/>
    <n v="3"/>
    <s v="Male"/>
    <n v="54"/>
    <n v="3"/>
    <n v="1"/>
    <s v="Research Scientist"/>
    <x v="3"/>
    <s v="Single"/>
    <x v="804"/>
    <n v="7172"/>
    <n v="1"/>
    <s v="Y"/>
    <s v="No"/>
    <n v="25"/>
    <n v="4"/>
    <n v="3"/>
    <n v="80"/>
    <n v="0"/>
    <n v="1"/>
    <n v="4"/>
    <n v="3"/>
    <n v="1"/>
    <n v="1"/>
    <n v="0"/>
    <n v="0"/>
    <s v="0-2 yrs"/>
  </r>
  <r>
    <n v="45"/>
    <x v="1"/>
    <s v="Travel_Rarely"/>
    <n v="1457"/>
    <x v="1"/>
    <n v="7"/>
    <n v="3"/>
    <s v="Medical"/>
    <n v="1"/>
    <n v="1195"/>
    <n v="1"/>
    <s v="Female"/>
    <n v="83"/>
    <n v="3"/>
    <n v="1"/>
    <s v="Research Scientist"/>
    <x v="2"/>
    <s v="Married"/>
    <x v="805"/>
    <n v="20100"/>
    <n v="4"/>
    <s v="Y"/>
    <s v="Yes"/>
    <n v="19"/>
    <n v="3"/>
    <n v="3"/>
    <n v="80"/>
    <n v="1"/>
    <n v="7"/>
    <n v="2"/>
    <n v="2"/>
    <n v="3"/>
    <n v="2"/>
    <n v="0"/>
    <n v="2"/>
    <s v="3-5 yrs"/>
  </r>
  <r>
    <n v="37"/>
    <x v="1"/>
    <s v="Travel_Rarely"/>
    <n v="977"/>
    <x v="1"/>
    <n v="1"/>
    <n v="3"/>
    <s v="Life Sciences"/>
    <n v="1"/>
    <n v="1196"/>
    <n v="4"/>
    <s v="Female"/>
    <n v="56"/>
    <n v="2"/>
    <n v="2"/>
    <s v="Manufacturing Director"/>
    <x v="0"/>
    <s v="Married"/>
    <x v="806"/>
    <n v="9961"/>
    <n v="1"/>
    <s v="Y"/>
    <s v="No"/>
    <n v="13"/>
    <n v="3"/>
    <n v="2"/>
    <n v="80"/>
    <n v="1"/>
    <n v="14"/>
    <n v="2"/>
    <n v="2"/>
    <n v="14"/>
    <n v="8"/>
    <n v="3"/>
    <n v="11"/>
    <s v="5+ yrs"/>
  </r>
  <r>
    <n v="20"/>
    <x v="1"/>
    <s v="Travel_Rarely"/>
    <n v="805"/>
    <x v="1"/>
    <n v="3"/>
    <n v="3"/>
    <s v="Life Sciences"/>
    <n v="1"/>
    <n v="1198"/>
    <n v="1"/>
    <s v="Male"/>
    <n v="87"/>
    <n v="2"/>
    <n v="1"/>
    <s v="Laboratory Technician"/>
    <x v="2"/>
    <s v="Single"/>
    <x v="807"/>
    <n v="12828"/>
    <n v="1"/>
    <s v="Y"/>
    <s v="No"/>
    <n v="12"/>
    <n v="3"/>
    <n v="1"/>
    <n v="80"/>
    <n v="0"/>
    <n v="2"/>
    <n v="2"/>
    <n v="2"/>
    <n v="2"/>
    <n v="2"/>
    <n v="1"/>
    <n v="2"/>
    <s v="0-2 yrs"/>
  </r>
  <r>
    <n v="44"/>
    <x v="0"/>
    <s v="Travel_Rarely"/>
    <n v="1097"/>
    <x v="1"/>
    <n v="10"/>
    <n v="4"/>
    <s v="Life Sciences"/>
    <n v="1"/>
    <n v="1200"/>
    <n v="3"/>
    <s v="Male"/>
    <n v="96"/>
    <n v="3"/>
    <n v="1"/>
    <s v="Research Scientist"/>
    <x v="2"/>
    <s v="Single"/>
    <x v="808"/>
    <n v="10826"/>
    <n v="1"/>
    <s v="Y"/>
    <s v="Yes"/>
    <n v="11"/>
    <n v="3"/>
    <n v="3"/>
    <n v="80"/>
    <n v="0"/>
    <n v="6"/>
    <n v="4"/>
    <n v="3"/>
    <n v="6"/>
    <n v="4"/>
    <n v="0"/>
    <n v="2"/>
    <s v="5+ yrs"/>
  </r>
  <r>
    <n v="53"/>
    <x v="1"/>
    <s v="Travel_Rarely"/>
    <n v="1223"/>
    <x v="1"/>
    <n v="7"/>
    <n v="2"/>
    <s v="Medical"/>
    <n v="1"/>
    <n v="1201"/>
    <n v="4"/>
    <s v="Female"/>
    <n v="50"/>
    <n v="3"/>
    <n v="5"/>
    <s v="Manager"/>
    <x v="2"/>
    <s v="Divorced"/>
    <x v="809"/>
    <n v="18640"/>
    <n v="3"/>
    <s v="Y"/>
    <s v="No"/>
    <n v="18"/>
    <n v="3"/>
    <n v="2"/>
    <n v="80"/>
    <n v="1"/>
    <n v="26"/>
    <n v="6"/>
    <n v="3"/>
    <n v="7"/>
    <n v="7"/>
    <n v="4"/>
    <n v="7"/>
    <s v="5+ yrs"/>
  </r>
  <r>
    <n v="29"/>
    <x v="1"/>
    <s v="Travel_Rarely"/>
    <n v="942"/>
    <x v="1"/>
    <n v="15"/>
    <n v="1"/>
    <s v="Life Sciences"/>
    <n v="1"/>
    <n v="1202"/>
    <n v="2"/>
    <s v="Female"/>
    <n v="69"/>
    <n v="1"/>
    <n v="1"/>
    <s v="Research Scientist"/>
    <x v="0"/>
    <s v="Married"/>
    <x v="810"/>
    <n v="26933"/>
    <n v="0"/>
    <s v="Y"/>
    <s v="Yes"/>
    <n v="18"/>
    <n v="3"/>
    <n v="1"/>
    <n v="80"/>
    <n v="1"/>
    <n v="6"/>
    <n v="2"/>
    <n v="2"/>
    <n v="5"/>
    <n v="4"/>
    <n v="1"/>
    <n v="3"/>
    <s v="3-5 yrs"/>
  </r>
  <r>
    <n v="22"/>
    <x v="0"/>
    <s v="Travel_Frequently"/>
    <n v="1256"/>
    <x v="1"/>
    <n v="3"/>
    <n v="4"/>
    <s v="Life Sciences"/>
    <n v="1"/>
    <n v="1203"/>
    <n v="3"/>
    <s v="Male"/>
    <n v="48"/>
    <n v="2"/>
    <n v="1"/>
    <s v="Research Scientist"/>
    <x v="0"/>
    <s v="Married"/>
    <x v="811"/>
    <n v="4223"/>
    <n v="0"/>
    <s v="Y"/>
    <s v="Yes"/>
    <n v="11"/>
    <n v="3"/>
    <n v="2"/>
    <n v="80"/>
    <n v="1"/>
    <n v="1"/>
    <n v="5"/>
    <n v="3"/>
    <n v="0"/>
    <n v="0"/>
    <n v="0"/>
    <n v="0"/>
    <s v="0-2 yrs"/>
  </r>
  <r>
    <n v="46"/>
    <x v="1"/>
    <s v="Travel_Rarely"/>
    <n v="1402"/>
    <x v="0"/>
    <n v="2"/>
    <n v="3"/>
    <s v="Marketing"/>
    <n v="1"/>
    <n v="1204"/>
    <n v="3"/>
    <s v="Female"/>
    <n v="69"/>
    <n v="3"/>
    <n v="4"/>
    <s v="Manager"/>
    <x v="3"/>
    <s v="Married"/>
    <x v="812"/>
    <n v="24097"/>
    <n v="8"/>
    <s v="Y"/>
    <s v="No"/>
    <n v="23"/>
    <n v="4"/>
    <n v="1"/>
    <n v="80"/>
    <n v="0"/>
    <n v="28"/>
    <n v="2"/>
    <n v="3"/>
    <n v="26"/>
    <n v="15"/>
    <n v="15"/>
    <n v="9"/>
    <s v="5+ yrs"/>
  </r>
  <r>
    <n v="44"/>
    <x v="1"/>
    <s v="Non-Travel"/>
    <n v="111"/>
    <x v="1"/>
    <n v="17"/>
    <n v="3"/>
    <s v="Life Sciences"/>
    <n v="1"/>
    <n v="1206"/>
    <n v="4"/>
    <s v="Male"/>
    <n v="74"/>
    <n v="1"/>
    <n v="1"/>
    <s v="Research Scientist"/>
    <x v="2"/>
    <s v="Single"/>
    <x v="813"/>
    <n v="4279"/>
    <n v="2"/>
    <s v="Y"/>
    <s v="No"/>
    <n v="13"/>
    <n v="3"/>
    <n v="4"/>
    <n v="80"/>
    <n v="0"/>
    <n v="6"/>
    <n v="3"/>
    <n v="3"/>
    <n v="0"/>
    <n v="0"/>
    <n v="0"/>
    <n v="0"/>
    <s v="0-2 yrs"/>
  </r>
  <r>
    <n v="33"/>
    <x v="1"/>
    <s v="Travel_Rarely"/>
    <n v="147"/>
    <x v="2"/>
    <n v="2"/>
    <n v="3"/>
    <s v="Human Resources"/>
    <n v="1"/>
    <n v="1207"/>
    <n v="2"/>
    <s v="Male"/>
    <n v="99"/>
    <n v="3"/>
    <n v="1"/>
    <s v="Human Resources"/>
    <x v="2"/>
    <s v="Married"/>
    <x v="814"/>
    <n v="8429"/>
    <n v="1"/>
    <s v="Y"/>
    <s v="No"/>
    <n v="13"/>
    <n v="3"/>
    <n v="4"/>
    <n v="80"/>
    <n v="1"/>
    <n v="5"/>
    <n v="2"/>
    <n v="3"/>
    <n v="5"/>
    <n v="4"/>
    <n v="1"/>
    <n v="4"/>
    <s v="3-5 yrs"/>
  </r>
  <r>
    <n v="41"/>
    <x v="0"/>
    <s v="Non-Travel"/>
    <n v="906"/>
    <x v="1"/>
    <n v="5"/>
    <n v="2"/>
    <s v="Life Sciences"/>
    <n v="1"/>
    <n v="1210"/>
    <n v="1"/>
    <s v="Male"/>
    <n v="95"/>
    <n v="2"/>
    <n v="1"/>
    <s v="Research Scientist"/>
    <x v="3"/>
    <s v="Divorced"/>
    <x v="815"/>
    <n v="20293"/>
    <n v="6"/>
    <s v="Y"/>
    <s v="No"/>
    <n v="17"/>
    <n v="3"/>
    <n v="1"/>
    <n v="80"/>
    <n v="1"/>
    <n v="5"/>
    <n v="2"/>
    <n v="1"/>
    <n v="1"/>
    <n v="0"/>
    <n v="0"/>
    <n v="0"/>
    <s v="0-2 yrs"/>
  </r>
  <r>
    <n v="30"/>
    <x v="1"/>
    <s v="Travel_Rarely"/>
    <n v="1329"/>
    <x v="0"/>
    <n v="29"/>
    <n v="4"/>
    <s v="Life Sciences"/>
    <n v="1"/>
    <n v="1211"/>
    <n v="3"/>
    <s v="Male"/>
    <n v="61"/>
    <n v="3"/>
    <n v="2"/>
    <s v="Sales Executive"/>
    <x v="3"/>
    <s v="Divorced"/>
    <x v="816"/>
    <n v="13192"/>
    <n v="8"/>
    <s v="Y"/>
    <s v="No"/>
    <n v="19"/>
    <n v="3"/>
    <n v="3"/>
    <n v="80"/>
    <n v="3"/>
    <n v="8"/>
    <n v="3"/>
    <n v="3"/>
    <n v="4"/>
    <n v="3"/>
    <n v="0"/>
    <n v="3"/>
    <s v="3-5 yrs"/>
  </r>
  <r>
    <n v="40"/>
    <x v="1"/>
    <s v="Travel_Frequently"/>
    <n v="1184"/>
    <x v="0"/>
    <n v="2"/>
    <n v="4"/>
    <s v="Medical"/>
    <n v="1"/>
    <n v="1212"/>
    <n v="2"/>
    <s v="Male"/>
    <n v="62"/>
    <n v="3"/>
    <n v="2"/>
    <s v="Sales Executive"/>
    <x v="1"/>
    <s v="Married"/>
    <x v="817"/>
    <n v="25440"/>
    <n v="5"/>
    <s v="Y"/>
    <s v="No"/>
    <n v="12"/>
    <n v="3"/>
    <n v="4"/>
    <n v="80"/>
    <n v="3"/>
    <n v="5"/>
    <n v="2"/>
    <n v="3"/>
    <n v="0"/>
    <n v="0"/>
    <n v="0"/>
    <n v="0"/>
    <s v="0-2 yrs"/>
  </r>
  <r>
    <n v="50"/>
    <x v="1"/>
    <s v="Travel_Frequently"/>
    <n v="1421"/>
    <x v="1"/>
    <n v="2"/>
    <n v="3"/>
    <s v="Medical"/>
    <n v="1"/>
    <n v="1215"/>
    <n v="4"/>
    <s v="Female"/>
    <n v="30"/>
    <n v="3"/>
    <n v="4"/>
    <s v="Manager"/>
    <x v="3"/>
    <s v="Married"/>
    <x v="818"/>
    <n v="9490"/>
    <n v="2"/>
    <s v="Y"/>
    <s v="No"/>
    <n v="22"/>
    <n v="4"/>
    <n v="3"/>
    <n v="80"/>
    <n v="1"/>
    <n v="32"/>
    <n v="3"/>
    <n v="3"/>
    <n v="2"/>
    <n v="2"/>
    <n v="2"/>
    <n v="2"/>
    <s v="0-2 yrs"/>
  </r>
  <r>
    <n v="28"/>
    <x v="1"/>
    <s v="Travel_Rarely"/>
    <n v="1179"/>
    <x v="1"/>
    <n v="19"/>
    <n v="4"/>
    <s v="Medical"/>
    <n v="1"/>
    <n v="1216"/>
    <n v="4"/>
    <s v="Male"/>
    <n v="78"/>
    <n v="2"/>
    <n v="1"/>
    <s v="Laboratory Technician"/>
    <x v="3"/>
    <s v="Married"/>
    <x v="819"/>
    <n v="12449"/>
    <n v="1"/>
    <s v="Y"/>
    <s v="No"/>
    <n v="12"/>
    <n v="3"/>
    <n v="3"/>
    <n v="80"/>
    <n v="3"/>
    <n v="6"/>
    <n v="2"/>
    <n v="3"/>
    <n v="6"/>
    <n v="5"/>
    <n v="3"/>
    <n v="3"/>
    <s v="5+ yrs"/>
  </r>
  <r>
    <n v="46"/>
    <x v="1"/>
    <s v="Travel_Rarely"/>
    <n v="1450"/>
    <x v="1"/>
    <n v="15"/>
    <n v="2"/>
    <s v="Life Sciences"/>
    <n v="1"/>
    <n v="1217"/>
    <n v="4"/>
    <s v="Male"/>
    <n v="52"/>
    <n v="3"/>
    <n v="5"/>
    <s v="Research Director"/>
    <x v="1"/>
    <s v="Married"/>
    <x v="820"/>
    <n v="10849"/>
    <n v="5"/>
    <s v="Y"/>
    <s v="No"/>
    <n v="11"/>
    <n v="3"/>
    <n v="1"/>
    <n v="80"/>
    <n v="1"/>
    <n v="25"/>
    <n v="2"/>
    <n v="3"/>
    <n v="4"/>
    <n v="2"/>
    <n v="0"/>
    <n v="3"/>
    <s v="3-5 yrs"/>
  </r>
  <r>
    <n v="35"/>
    <x v="1"/>
    <s v="Travel_Rarely"/>
    <n v="1361"/>
    <x v="0"/>
    <n v="17"/>
    <n v="4"/>
    <s v="Life Sciences"/>
    <n v="1"/>
    <n v="1218"/>
    <n v="3"/>
    <s v="Male"/>
    <n v="94"/>
    <n v="3"/>
    <n v="2"/>
    <s v="Sales Executive"/>
    <x v="3"/>
    <s v="Married"/>
    <x v="821"/>
    <n v="21026"/>
    <n v="3"/>
    <s v="Y"/>
    <s v="Yes"/>
    <n v="15"/>
    <n v="3"/>
    <n v="4"/>
    <n v="80"/>
    <n v="3"/>
    <n v="15"/>
    <n v="2"/>
    <n v="3"/>
    <n v="7"/>
    <n v="7"/>
    <n v="1"/>
    <n v="7"/>
    <s v="5+ yrs"/>
  </r>
  <r>
    <n v="24"/>
    <x v="0"/>
    <s v="Travel_Rarely"/>
    <n v="984"/>
    <x v="1"/>
    <n v="17"/>
    <n v="2"/>
    <s v="Life Sciences"/>
    <n v="1"/>
    <n v="1219"/>
    <n v="4"/>
    <s v="Female"/>
    <n v="97"/>
    <n v="3"/>
    <n v="1"/>
    <s v="Laboratory Technician"/>
    <x v="1"/>
    <s v="Married"/>
    <x v="822"/>
    <n v="3372"/>
    <n v="1"/>
    <s v="Y"/>
    <s v="No"/>
    <n v="13"/>
    <n v="3"/>
    <n v="1"/>
    <n v="80"/>
    <n v="1"/>
    <n v="1"/>
    <n v="3"/>
    <n v="1"/>
    <n v="1"/>
    <n v="0"/>
    <n v="0"/>
    <n v="0"/>
    <s v="0-2 yrs"/>
  </r>
  <r>
    <n v="33"/>
    <x v="1"/>
    <s v="Travel_Frequently"/>
    <n v="1146"/>
    <x v="0"/>
    <n v="25"/>
    <n v="3"/>
    <s v="Medical"/>
    <n v="1"/>
    <n v="1220"/>
    <n v="2"/>
    <s v="Female"/>
    <n v="82"/>
    <n v="3"/>
    <n v="2"/>
    <s v="Sales Executive"/>
    <x v="2"/>
    <s v="Married"/>
    <x v="823"/>
    <n v="4905"/>
    <n v="1"/>
    <s v="Y"/>
    <s v="No"/>
    <n v="12"/>
    <n v="3"/>
    <n v="1"/>
    <n v="80"/>
    <n v="1"/>
    <n v="10"/>
    <n v="3"/>
    <n v="2"/>
    <n v="10"/>
    <n v="7"/>
    <n v="0"/>
    <n v="1"/>
    <s v="5+ yrs"/>
  </r>
  <r>
    <n v="36"/>
    <x v="1"/>
    <s v="Travel_Rarely"/>
    <n v="917"/>
    <x v="1"/>
    <n v="6"/>
    <n v="4"/>
    <s v="Life Sciences"/>
    <n v="1"/>
    <n v="1221"/>
    <n v="3"/>
    <s v="Male"/>
    <n v="60"/>
    <n v="1"/>
    <n v="1"/>
    <s v="Laboratory Technician"/>
    <x v="2"/>
    <s v="Divorced"/>
    <x v="199"/>
    <n v="6865"/>
    <n v="1"/>
    <s v="Y"/>
    <s v="No"/>
    <n v="14"/>
    <n v="3"/>
    <n v="3"/>
    <n v="80"/>
    <n v="1"/>
    <n v="7"/>
    <n v="4"/>
    <n v="3"/>
    <n v="7"/>
    <n v="7"/>
    <n v="1"/>
    <n v="7"/>
    <s v="5+ yrs"/>
  </r>
  <r>
    <n v="30"/>
    <x v="1"/>
    <s v="Travel_Rarely"/>
    <n v="853"/>
    <x v="1"/>
    <n v="7"/>
    <n v="4"/>
    <s v="Life Sciences"/>
    <n v="1"/>
    <n v="1224"/>
    <n v="3"/>
    <s v="Male"/>
    <n v="49"/>
    <n v="3"/>
    <n v="2"/>
    <s v="Laboratory Technician"/>
    <x v="2"/>
    <s v="Divorced"/>
    <x v="824"/>
    <n v="11309"/>
    <n v="1"/>
    <s v="Y"/>
    <s v="No"/>
    <n v="13"/>
    <n v="3"/>
    <n v="1"/>
    <n v="80"/>
    <n v="3"/>
    <n v="10"/>
    <n v="4"/>
    <n v="2"/>
    <n v="10"/>
    <n v="7"/>
    <n v="8"/>
    <n v="9"/>
    <s v="5+ yrs"/>
  </r>
  <r>
    <n v="44"/>
    <x v="1"/>
    <s v="Travel_Rarely"/>
    <n v="200"/>
    <x v="1"/>
    <n v="29"/>
    <n v="4"/>
    <s v="Other"/>
    <n v="1"/>
    <n v="1225"/>
    <n v="4"/>
    <s v="Male"/>
    <n v="32"/>
    <n v="3"/>
    <n v="2"/>
    <s v="Research Scientist"/>
    <x v="0"/>
    <s v="Single"/>
    <x v="825"/>
    <n v="7744"/>
    <n v="1"/>
    <s v="Y"/>
    <s v="No"/>
    <n v="25"/>
    <n v="4"/>
    <n v="2"/>
    <n v="80"/>
    <n v="0"/>
    <n v="20"/>
    <n v="3"/>
    <n v="3"/>
    <n v="20"/>
    <n v="11"/>
    <n v="13"/>
    <n v="17"/>
    <s v="5+ yrs"/>
  </r>
  <r>
    <n v="20"/>
    <x v="1"/>
    <s v="Travel_Rarely"/>
    <n v="654"/>
    <x v="0"/>
    <n v="21"/>
    <n v="3"/>
    <s v="Marketing"/>
    <n v="1"/>
    <n v="1226"/>
    <n v="3"/>
    <s v="Male"/>
    <n v="43"/>
    <n v="4"/>
    <n v="1"/>
    <s v="Sales Representative"/>
    <x v="0"/>
    <s v="Single"/>
    <x v="826"/>
    <n v="5050"/>
    <n v="1"/>
    <s v="Y"/>
    <s v="No"/>
    <n v="17"/>
    <n v="3"/>
    <n v="4"/>
    <n v="80"/>
    <n v="0"/>
    <n v="2"/>
    <n v="2"/>
    <n v="3"/>
    <n v="2"/>
    <n v="1"/>
    <n v="2"/>
    <n v="2"/>
    <s v="0-2 yrs"/>
  </r>
  <r>
    <n v="46"/>
    <x v="1"/>
    <s v="Travel_Rarely"/>
    <n v="150"/>
    <x v="1"/>
    <n v="2"/>
    <n v="4"/>
    <s v="Technical Degree"/>
    <n v="1"/>
    <n v="1228"/>
    <n v="4"/>
    <s v="Male"/>
    <n v="60"/>
    <n v="3"/>
    <n v="2"/>
    <s v="Manufacturing Director"/>
    <x v="0"/>
    <s v="Divorced"/>
    <x v="827"/>
    <n v="17433"/>
    <n v="2"/>
    <s v="Y"/>
    <s v="No"/>
    <n v="11"/>
    <n v="3"/>
    <n v="3"/>
    <n v="80"/>
    <n v="1"/>
    <n v="12"/>
    <n v="3"/>
    <n v="2"/>
    <n v="6"/>
    <n v="3"/>
    <n v="1"/>
    <n v="4"/>
    <s v="5+ yrs"/>
  </r>
  <r>
    <n v="42"/>
    <x v="1"/>
    <s v="Non-Travel"/>
    <n v="179"/>
    <x v="2"/>
    <n v="2"/>
    <n v="5"/>
    <s v="Medical"/>
    <n v="1"/>
    <n v="1231"/>
    <n v="4"/>
    <s v="Male"/>
    <n v="79"/>
    <n v="4"/>
    <n v="2"/>
    <s v="Human Resources"/>
    <x v="3"/>
    <s v="Married"/>
    <x v="458"/>
    <n v="12858"/>
    <n v="7"/>
    <s v="Y"/>
    <s v="No"/>
    <n v="16"/>
    <n v="3"/>
    <n v="1"/>
    <n v="80"/>
    <n v="1"/>
    <n v="10"/>
    <n v="3"/>
    <n v="4"/>
    <n v="4"/>
    <n v="3"/>
    <n v="0"/>
    <n v="3"/>
    <s v="3-5 yrs"/>
  </r>
  <r>
    <n v="60"/>
    <x v="1"/>
    <s v="Travel_Rarely"/>
    <n v="696"/>
    <x v="0"/>
    <n v="7"/>
    <n v="4"/>
    <s v="Marketing"/>
    <n v="1"/>
    <n v="1233"/>
    <n v="2"/>
    <s v="Male"/>
    <n v="52"/>
    <n v="4"/>
    <n v="2"/>
    <s v="Sales Executive"/>
    <x v="0"/>
    <s v="Divorced"/>
    <x v="828"/>
    <n v="10893"/>
    <n v="0"/>
    <s v="Y"/>
    <s v="Yes"/>
    <n v="18"/>
    <n v="3"/>
    <n v="2"/>
    <n v="80"/>
    <n v="1"/>
    <n v="12"/>
    <n v="3"/>
    <n v="3"/>
    <n v="11"/>
    <n v="7"/>
    <n v="1"/>
    <n v="9"/>
    <s v="5+ yrs"/>
  </r>
  <r>
    <n v="32"/>
    <x v="1"/>
    <s v="Travel_Frequently"/>
    <n v="116"/>
    <x v="1"/>
    <n v="13"/>
    <n v="3"/>
    <s v="Other"/>
    <n v="1"/>
    <n v="1234"/>
    <n v="3"/>
    <s v="Female"/>
    <n v="77"/>
    <n v="2"/>
    <n v="1"/>
    <s v="Laboratory Technician"/>
    <x v="1"/>
    <s v="Married"/>
    <x v="714"/>
    <n v="7331"/>
    <n v="1"/>
    <s v="Y"/>
    <s v="No"/>
    <n v="20"/>
    <n v="4"/>
    <n v="3"/>
    <n v="80"/>
    <n v="1"/>
    <n v="2"/>
    <n v="2"/>
    <n v="3"/>
    <n v="2"/>
    <n v="2"/>
    <n v="2"/>
    <n v="2"/>
    <s v="0-2 yrs"/>
  </r>
  <r>
    <n v="32"/>
    <x v="1"/>
    <s v="Travel_Frequently"/>
    <n v="1316"/>
    <x v="1"/>
    <n v="2"/>
    <n v="2"/>
    <s v="Life Sciences"/>
    <n v="1"/>
    <n v="1235"/>
    <n v="4"/>
    <s v="Female"/>
    <n v="38"/>
    <n v="3"/>
    <n v="2"/>
    <s v="Research Scientist"/>
    <x v="2"/>
    <s v="Single"/>
    <x v="829"/>
    <n v="2338"/>
    <n v="4"/>
    <s v="Y"/>
    <s v="Yes"/>
    <n v="14"/>
    <n v="3"/>
    <n v="4"/>
    <n v="80"/>
    <n v="0"/>
    <n v="10"/>
    <n v="2"/>
    <n v="3"/>
    <n v="8"/>
    <n v="7"/>
    <n v="0"/>
    <n v="7"/>
    <s v="5+ yrs"/>
  </r>
  <r>
    <n v="36"/>
    <x v="1"/>
    <s v="Travel_Rarely"/>
    <n v="363"/>
    <x v="1"/>
    <n v="1"/>
    <n v="3"/>
    <s v="Technical Degree"/>
    <n v="1"/>
    <n v="1237"/>
    <n v="3"/>
    <s v="Female"/>
    <n v="77"/>
    <n v="1"/>
    <n v="3"/>
    <s v="Manufacturing Director"/>
    <x v="3"/>
    <s v="Divorced"/>
    <x v="830"/>
    <n v="4235"/>
    <n v="2"/>
    <s v="Y"/>
    <s v="Yes"/>
    <n v="21"/>
    <n v="4"/>
    <n v="3"/>
    <n v="80"/>
    <n v="1"/>
    <n v="17"/>
    <n v="2"/>
    <n v="3"/>
    <n v="7"/>
    <n v="7"/>
    <n v="7"/>
    <n v="7"/>
    <s v="5+ yrs"/>
  </r>
  <r>
    <n v="33"/>
    <x v="1"/>
    <s v="Travel_Rarely"/>
    <n v="117"/>
    <x v="1"/>
    <n v="9"/>
    <n v="3"/>
    <s v="Medical"/>
    <n v="1"/>
    <n v="1238"/>
    <n v="1"/>
    <s v="Male"/>
    <n v="60"/>
    <n v="3"/>
    <n v="1"/>
    <s v="Research Scientist"/>
    <x v="0"/>
    <s v="Married"/>
    <x v="831"/>
    <n v="6311"/>
    <n v="0"/>
    <s v="Y"/>
    <s v="No"/>
    <n v="13"/>
    <n v="3"/>
    <n v="2"/>
    <n v="80"/>
    <n v="1"/>
    <n v="15"/>
    <n v="5"/>
    <n v="3"/>
    <n v="14"/>
    <n v="10"/>
    <n v="4"/>
    <n v="10"/>
    <s v="5+ yrs"/>
  </r>
  <r>
    <n v="40"/>
    <x v="1"/>
    <s v="Travel_Rarely"/>
    <n v="107"/>
    <x v="0"/>
    <n v="10"/>
    <n v="3"/>
    <s v="Technical Degree"/>
    <n v="1"/>
    <n v="1239"/>
    <n v="2"/>
    <s v="Female"/>
    <n v="84"/>
    <n v="2"/>
    <n v="2"/>
    <s v="Sales Executive"/>
    <x v="1"/>
    <s v="Divorced"/>
    <x v="832"/>
    <n v="11591"/>
    <n v="7"/>
    <s v="Y"/>
    <s v="No"/>
    <n v="12"/>
    <n v="3"/>
    <n v="2"/>
    <n v="80"/>
    <n v="1"/>
    <n v="7"/>
    <n v="2"/>
    <n v="4"/>
    <n v="5"/>
    <n v="1"/>
    <n v="1"/>
    <n v="3"/>
    <s v="3-5 yrs"/>
  </r>
  <r>
    <n v="25"/>
    <x v="1"/>
    <s v="Travel_Rarely"/>
    <n v="1356"/>
    <x v="0"/>
    <n v="10"/>
    <n v="4"/>
    <s v="Life Sciences"/>
    <n v="1"/>
    <n v="1240"/>
    <n v="3"/>
    <s v="Male"/>
    <n v="57"/>
    <n v="3"/>
    <n v="2"/>
    <s v="Sales Executive"/>
    <x v="0"/>
    <s v="Single"/>
    <x v="833"/>
    <n v="20623"/>
    <n v="0"/>
    <s v="Y"/>
    <s v="No"/>
    <n v="14"/>
    <n v="3"/>
    <n v="2"/>
    <n v="80"/>
    <n v="0"/>
    <n v="5"/>
    <n v="4"/>
    <n v="3"/>
    <n v="4"/>
    <n v="3"/>
    <n v="1"/>
    <n v="1"/>
    <s v="3-5 yrs"/>
  </r>
  <r>
    <n v="30"/>
    <x v="1"/>
    <s v="Travel_Rarely"/>
    <n v="1465"/>
    <x v="1"/>
    <n v="1"/>
    <n v="3"/>
    <s v="Medical"/>
    <n v="1"/>
    <n v="1241"/>
    <n v="4"/>
    <s v="Male"/>
    <n v="63"/>
    <n v="3"/>
    <n v="1"/>
    <s v="Research Scientist"/>
    <x v="1"/>
    <s v="Married"/>
    <x v="834"/>
    <n v="9369"/>
    <n v="0"/>
    <s v="Y"/>
    <s v="Yes"/>
    <n v="21"/>
    <n v="4"/>
    <n v="1"/>
    <n v="80"/>
    <n v="1"/>
    <n v="12"/>
    <n v="2"/>
    <n v="3"/>
    <n v="11"/>
    <n v="9"/>
    <n v="5"/>
    <n v="7"/>
    <s v="5+ yrs"/>
  </r>
  <r>
    <n v="42"/>
    <x v="1"/>
    <s v="Travel_Frequently"/>
    <n v="458"/>
    <x v="1"/>
    <n v="26"/>
    <n v="5"/>
    <s v="Medical"/>
    <n v="1"/>
    <n v="1242"/>
    <n v="1"/>
    <s v="Female"/>
    <n v="60"/>
    <n v="3"/>
    <n v="3"/>
    <s v="Research Director"/>
    <x v="3"/>
    <s v="Married"/>
    <x v="835"/>
    <n v="23281"/>
    <n v="3"/>
    <s v="Y"/>
    <s v="Yes"/>
    <n v="17"/>
    <n v="3"/>
    <n v="3"/>
    <n v="80"/>
    <n v="0"/>
    <n v="20"/>
    <n v="6"/>
    <n v="3"/>
    <n v="1"/>
    <n v="0"/>
    <n v="0"/>
    <n v="0"/>
    <s v="0-2 yrs"/>
  </r>
  <r>
    <n v="35"/>
    <x v="1"/>
    <s v="Non-Travel"/>
    <n v="1212"/>
    <x v="0"/>
    <n v="8"/>
    <n v="2"/>
    <s v="Marketing"/>
    <n v="1"/>
    <n v="1243"/>
    <n v="3"/>
    <s v="Female"/>
    <n v="78"/>
    <n v="2"/>
    <n v="3"/>
    <s v="Sales Executive"/>
    <x v="0"/>
    <s v="Married"/>
    <x v="836"/>
    <n v="13755"/>
    <n v="4"/>
    <s v="Y"/>
    <s v="Yes"/>
    <n v="11"/>
    <n v="3"/>
    <n v="2"/>
    <n v="80"/>
    <n v="1"/>
    <n v="16"/>
    <n v="6"/>
    <n v="2"/>
    <n v="13"/>
    <n v="2"/>
    <n v="4"/>
    <n v="12"/>
    <s v="5+ yrs"/>
  </r>
  <r>
    <n v="27"/>
    <x v="1"/>
    <s v="Travel_Rarely"/>
    <n v="1103"/>
    <x v="1"/>
    <n v="14"/>
    <n v="3"/>
    <s v="Life Sciences"/>
    <n v="1"/>
    <n v="1244"/>
    <n v="1"/>
    <s v="Male"/>
    <n v="42"/>
    <n v="3"/>
    <n v="1"/>
    <s v="Research Scientist"/>
    <x v="3"/>
    <s v="Married"/>
    <x v="837"/>
    <n v="14377"/>
    <n v="1"/>
    <s v="Y"/>
    <s v="Yes"/>
    <n v="14"/>
    <n v="3"/>
    <n v="4"/>
    <n v="80"/>
    <n v="2"/>
    <n v="9"/>
    <n v="3"/>
    <n v="2"/>
    <n v="9"/>
    <n v="7"/>
    <n v="6"/>
    <n v="8"/>
    <s v="5+ yrs"/>
  </r>
  <r>
    <n v="54"/>
    <x v="1"/>
    <s v="Travel_Frequently"/>
    <n v="966"/>
    <x v="1"/>
    <n v="1"/>
    <n v="4"/>
    <s v="Life Sciences"/>
    <n v="1"/>
    <n v="1245"/>
    <n v="4"/>
    <s v="Female"/>
    <n v="53"/>
    <n v="3"/>
    <n v="3"/>
    <s v="Manufacturing Director"/>
    <x v="2"/>
    <s v="Divorced"/>
    <x v="838"/>
    <n v="9659"/>
    <n v="7"/>
    <s v="Y"/>
    <s v="No"/>
    <n v="17"/>
    <n v="3"/>
    <n v="1"/>
    <n v="80"/>
    <n v="1"/>
    <n v="33"/>
    <n v="2"/>
    <n v="1"/>
    <n v="5"/>
    <n v="4"/>
    <n v="1"/>
    <n v="4"/>
    <s v="3-5 yrs"/>
  </r>
  <r>
    <n v="44"/>
    <x v="1"/>
    <s v="Travel_Rarely"/>
    <n v="1117"/>
    <x v="1"/>
    <n v="2"/>
    <n v="1"/>
    <s v="Life Sciences"/>
    <n v="1"/>
    <n v="1246"/>
    <n v="1"/>
    <s v="Female"/>
    <n v="72"/>
    <n v="4"/>
    <n v="1"/>
    <s v="Research Scientist"/>
    <x v="0"/>
    <s v="Married"/>
    <x v="839"/>
    <n v="19982"/>
    <n v="1"/>
    <s v="Y"/>
    <s v="No"/>
    <n v="13"/>
    <n v="3"/>
    <n v="4"/>
    <n v="80"/>
    <n v="1"/>
    <n v="10"/>
    <n v="5"/>
    <n v="3"/>
    <n v="10"/>
    <n v="5"/>
    <n v="7"/>
    <n v="7"/>
    <s v="5+ yrs"/>
  </r>
  <r>
    <n v="19"/>
    <x v="0"/>
    <s v="Non-Travel"/>
    <n v="504"/>
    <x v="1"/>
    <n v="10"/>
    <n v="3"/>
    <s v="Medical"/>
    <n v="1"/>
    <n v="1248"/>
    <n v="1"/>
    <s v="Female"/>
    <n v="96"/>
    <n v="2"/>
    <n v="1"/>
    <s v="Research Scientist"/>
    <x v="1"/>
    <s v="Single"/>
    <x v="840"/>
    <n v="6148"/>
    <n v="1"/>
    <s v="Y"/>
    <s v="Yes"/>
    <n v="25"/>
    <n v="4"/>
    <n v="2"/>
    <n v="80"/>
    <n v="0"/>
    <n v="1"/>
    <n v="2"/>
    <n v="4"/>
    <n v="1"/>
    <n v="1"/>
    <n v="0"/>
    <n v="0"/>
    <s v="0-2 yrs"/>
  </r>
  <r>
    <n v="29"/>
    <x v="1"/>
    <s v="Travel_Rarely"/>
    <n v="1010"/>
    <x v="1"/>
    <n v="1"/>
    <n v="3"/>
    <s v="Life Sciences"/>
    <n v="1"/>
    <n v="1249"/>
    <n v="1"/>
    <s v="Female"/>
    <n v="97"/>
    <n v="3"/>
    <n v="1"/>
    <s v="Research Scientist"/>
    <x v="0"/>
    <s v="Divorced"/>
    <x v="841"/>
    <n v="5598"/>
    <n v="1"/>
    <s v="Y"/>
    <s v="No"/>
    <n v="15"/>
    <n v="3"/>
    <n v="1"/>
    <n v="80"/>
    <n v="3"/>
    <n v="3"/>
    <n v="5"/>
    <n v="3"/>
    <n v="3"/>
    <n v="2"/>
    <n v="1"/>
    <n v="2"/>
    <s v="3-5 yrs"/>
  </r>
  <r>
    <n v="54"/>
    <x v="1"/>
    <s v="Travel_Rarely"/>
    <n v="685"/>
    <x v="1"/>
    <n v="3"/>
    <n v="3"/>
    <s v="Life Sciences"/>
    <n v="1"/>
    <n v="1250"/>
    <n v="4"/>
    <s v="Male"/>
    <n v="85"/>
    <n v="3"/>
    <n v="4"/>
    <s v="Research Director"/>
    <x v="0"/>
    <s v="Married"/>
    <x v="842"/>
    <n v="23474"/>
    <n v="3"/>
    <s v="Y"/>
    <s v="No"/>
    <n v="14"/>
    <n v="3"/>
    <n v="1"/>
    <n v="80"/>
    <n v="0"/>
    <n v="36"/>
    <n v="2"/>
    <n v="3"/>
    <n v="10"/>
    <n v="9"/>
    <n v="0"/>
    <n v="9"/>
    <s v="5+ yrs"/>
  </r>
  <r>
    <n v="31"/>
    <x v="1"/>
    <s v="Travel_Rarely"/>
    <n v="1332"/>
    <x v="1"/>
    <n v="11"/>
    <n v="2"/>
    <s v="Medical"/>
    <n v="1"/>
    <n v="1251"/>
    <n v="3"/>
    <s v="Male"/>
    <n v="80"/>
    <n v="3"/>
    <n v="2"/>
    <s v="Healthcare Representative"/>
    <x v="3"/>
    <s v="Married"/>
    <x v="843"/>
    <n v="17089"/>
    <n v="1"/>
    <s v="Y"/>
    <s v="Yes"/>
    <n v="12"/>
    <n v="3"/>
    <n v="4"/>
    <n v="80"/>
    <n v="0"/>
    <n v="6"/>
    <n v="2"/>
    <n v="2"/>
    <n v="6"/>
    <n v="5"/>
    <n v="0"/>
    <n v="1"/>
    <s v="5+ yrs"/>
  </r>
  <r>
    <n v="31"/>
    <x v="1"/>
    <s v="Travel_Rarely"/>
    <n v="1062"/>
    <x v="1"/>
    <n v="24"/>
    <n v="3"/>
    <s v="Medical"/>
    <n v="1"/>
    <n v="1252"/>
    <n v="3"/>
    <s v="Female"/>
    <n v="96"/>
    <n v="2"/>
    <n v="2"/>
    <s v="Healthcare Representative"/>
    <x v="3"/>
    <s v="Single"/>
    <x v="844"/>
    <n v="17198"/>
    <n v="1"/>
    <s v="Y"/>
    <s v="No"/>
    <n v="19"/>
    <n v="3"/>
    <n v="2"/>
    <n v="80"/>
    <n v="0"/>
    <n v="10"/>
    <n v="2"/>
    <n v="3"/>
    <n v="10"/>
    <n v="9"/>
    <n v="1"/>
    <n v="8"/>
    <s v="5+ yrs"/>
  </r>
  <r>
    <n v="59"/>
    <x v="1"/>
    <s v="Travel_Rarely"/>
    <n v="326"/>
    <x v="0"/>
    <n v="3"/>
    <n v="3"/>
    <s v="Life Sciences"/>
    <n v="1"/>
    <n v="1254"/>
    <n v="3"/>
    <s v="Female"/>
    <n v="48"/>
    <n v="2"/>
    <n v="2"/>
    <s v="Sales Executive"/>
    <x v="0"/>
    <s v="Single"/>
    <x v="845"/>
    <n v="16490"/>
    <n v="5"/>
    <s v="Y"/>
    <s v="No"/>
    <n v="17"/>
    <n v="3"/>
    <n v="4"/>
    <n v="80"/>
    <n v="0"/>
    <n v="13"/>
    <n v="2"/>
    <n v="3"/>
    <n v="6"/>
    <n v="1"/>
    <n v="0"/>
    <n v="5"/>
    <s v="5+ yrs"/>
  </r>
  <r>
    <n v="43"/>
    <x v="1"/>
    <s v="Travel_Rarely"/>
    <n v="920"/>
    <x v="1"/>
    <n v="3"/>
    <n v="3"/>
    <s v="Life Sciences"/>
    <n v="1"/>
    <n v="1255"/>
    <n v="3"/>
    <s v="Male"/>
    <n v="96"/>
    <n v="1"/>
    <n v="5"/>
    <s v="Research Director"/>
    <x v="0"/>
    <s v="Married"/>
    <x v="846"/>
    <n v="18625"/>
    <n v="3"/>
    <s v="Y"/>
    <s v="No"/>
    <n v="14"/>
    <n v="3"/>
    <n v="2"/>
    <n v="80"/>
    <n v="1"/>
    <n v="25"/>
    <n v="2"/>
    <n v="3"/>
    <n v="8"/>
    <n v="7"/>
    <n v="0"/>
    <n v="7"/>
    <s v="5+ yrs"/>
  </r>
  <r>
    <n v="49"/>
    <x v="1"/>
    <s v="Travel_Rarely"/>
    <n v="1098"/>
    <x v="1"/>
    <n v="4"/>
    <n v="2"/>
    <s v="Medical"/>
    <n v="1"/>
    <n v="1256"/>
    <n v="1"/>
    <s v="Male"/>
    <n v="85"/>
    <n v="2"/>
    <n v="5"/>
    <s v="Manager"/>
    <x v="2"/>
    <s v="Married"/>
    <x v="847"/>
    <n v="12124"/>
    <n v="2"/>
    <s v="Y"/>
    <s v="No"/>
    <n v="13"/>
    <n v="3"/>
    <n v="3"/>
    <n v="80"/>
    <n v="1"/>
    <n v="23"/>
    <n v="2"/>
    <n v="4"/>
    <n v="1"/>
    <n v="0"/>
    <n v="0"/>
    <n v="0"/>
    <s v="0-2 yrs"/>
  </r>
  <r>
    <n v="36"/>
    <x v="1"/>
    <s v="Travel_Frequently"/>
    <n v="469"/>
    <x v="1"/>
    <n v="3"/>
    <n v="3"/>
    <s v="Technical Degree"/>
    <n v="1"/>
    <n v="1257"/>
    <n v="3"/>
    <s v="Male"/>
    <n v="46"/>
    <n v="3"/>
    <n v="1"/>
    <s v="Research Scientist"/>
    <x v="1"/>
    <s v="Married"/>
    <x v="848"/>
    <n v="9256"/>
    <n v="1"/>
    <s v="Y"/>
    <s v="No"/>
    <n v="12"/>
    <n v="3"/>
    <n v="3"/>
    <n v="80"/>
    <n v="0"/>
    <n v="12"/>
    <n v="2"/>
    <n v="2"/>
    <n v="11"/>
    <n v="10"/>
    <n v="0"/>
    <n v="7"/>
    <s v="5+ yrs"/>
  </r>
  <r>
    <n v="48"/>
    <x v="1"/>
    <s v="Travel_Rarely"/>
    <n v="969"/>
    <x v="1"/>
    <n v="2"/>
    <n v="2"/>
    <s v="Technical Degree"/>
    <n v="1"/>
    <n v="1258"/>
    <n v="4"/>
    <s v="Male"/>
    <n v="76"/>
    <n v="4"/>
    <n v="1"/>
    <s v="Laboratory Technician"/>
    <x v="1"/>
    <s v="Single"/>
    <x v="594"/>
    <n v="16620"/>
    <n v="5"/>
    <s v="Y"/>
    <s v="No"/>
    <n v="11"/>
    <n v="3"/>
    <n v="3"/>
    <n v="80"/>
    <n v="0"/>
    <n v="7"/>
    <n v="4"/>
    <n v="2"/>
    <n v="1"/>
    <n v="0"/>
    <n v="0"/>
    <n v="0"/>
    <s v="0-2 yrs"/>
  </r>
  <r>
    <n v="27"/>
    <x v="1"/>
    <s v="Travel_Rarely"/>
    <n v="1167"/>
    <x v="1"/>
    <n v="4"/>
    <n v="2"/>
    <s v="Life Sciences"/>
    <n v="1"/>
    <n v="1259"/>
    <n v="1"/>
    <s v="Male"/>
    <n v="76"/>
    <n v="3"/>
    <n v="1"/>
    <s v="Research Scientist"/>
    <x v="2"/>
    <s v="Divorced"/>
    <x v="849"/>
    <n v="3208"/>
    <n v="1"/>
    <s v="Y"/>
    <s v="No"/>
    <n v="11"/>
    <n v="3"/>
    <n v="2"/>
    <n v="80"/>
    <n v="3"/>
    <n v="5"/>
    <n v="2"/>
    <n v="3"/>
    <n v="5"/>
    <n v="3"/>
    <n v="0"/>
    <n v="3"/>
    <s v="3-5 yrs"/>
  </r>
  <r>
    <n v="29"/>
    <x v="1"/>
    <s v="Travel_Rarely"/>
    <n v="1329"/>
    <x v="1"/>
    <n v="7"/>
    <n v="3"/>
    <s v="Life Sciences"/>
    <n v="1"/>
    <n v="1260"/>
    <n v="3"/>
    <s v="Male"/>
    <n v="82"/>
    <n v="3"/>
    <n v="2"/>
    <s v="Healthcare Representative"/>
    <x v="0"/>
    <s v="Divorced"/>
    <x v="850"/>
    <n v="4204"/>
    <n v="1"/>
    <s v="Y"/>
    <s v="Yes"/>
    <n v="11"/>
    <n v="3"/>
    <n v="2"/>
    <n v="80"/>
    <n v="2"/>
    <n v="6"/>
    <n v="2"/>
    <n v="3"/>
    <n v="6"/>
    <n v="0"/>
    <n v="1"/>
    <n v="0"/>
    <s v="5+ yrs"/>
  </r>
  <r>
    <n v="48"/>
    <x v="1"/>
    <s v="Travel_Rarely"/>
    <n v="715"/>
    <x v="1"/>
    <n v="1"/>
    <n v="3"/>
    <s v="Life Sciences"/>
    <n v="1"/>
    <n v="1263"/>
    <n v="4"/>
    <s v="Male"/>
    <n v="76"/>
    <n v="2"/>
    <n v="5"/>
    <s v="Research Director"/>
    <x v="0"/>
    <s v="Single"/>
    <x v="851"/>
    <n v="8733"/>
    <n v="6"/>
    <s v="Y"/>
    <s v="No"/>
    <n v="12"/>
    <n v="3"/>
    <n v="3"/>
    <n v="80"/>
    <n v="0"/>
    <n v="25"/>
    <n v="3"/>
    <n v="4"/>
    <n v="1"/>
    <n v="0"/>
    <n v="0"/>
    <n v="0"/>
    <s v="0-2 yrs"/>
  </r>
  <r>
    <n v="29"/>
    <x v="1"/>
    <s v="Travel_Rarely"/>
    <n v="694"/>
    <x v="1"/>
    <n v="1"/>
    <n v="3"/>
    <s v="Life Sciences"/>
    <n v="1"/>
    <n v="1264"/>
    <n v="4"/>
    <s v="Female"/>
    <n v="87"/>
    <n v="2"/>
    <n v="4"/>
    <s v="Research Director"/>
    <x v="0"/>
    <s v="Divorced"/>
    <x v="852"/>
    <n v="3423"/>
    <n v="3"/>
    <s v="Y"/>
    <s v="No"/>
    <n v="14"/>
    <n v="3"/>
    <n v="2"/>
    <n v="80"/>
    <n v="2"/>
    <n v="9"/>
    <n v="2"/>
    <n v="2"/>
    <n v="7"/>
    <n v="7"/>
    <n v="1"/>
    <n v="7"/>
    <s v="5+ yrs"/>
  </r>
  <r>
    <n v="34"/>
    <x v="1"/>
    <s v="Travel_Rarely"/>
    <n v="1320"/>
    <x v="1"/>
    <n v="20"/>
    <n v="3"/>
    <s v="Technical Degree"/>
    <n v="1"/>
    <n v="1265"/>
    <n v="3"/>
    <s v="Female"/>
    <n v="89"/>
    <n v="4"/>
    <n v="1"/>
    <s v="Research Scientist"/>
    <x v="2"/>
    <s v="Married"/>
    <x v="853"/>
    <n v="21643"/>
    <n v="0"/>
    <s v="Y"/>
    <s v="No"/>
    <n v="17"/>
    <n v="3"/>
    <n v="4"/>
    <n v="80"/>
    <n v="0"/>
    <n v="2"/>
    <n v="5"/>
    <n v="2"/>
    <n v="1"/>
    <n v="0"/>
    <n v="0"/>
    <n v="0"/>
    <s v="0-2 yrs"/>
  </r>
  <r>
    <n v="44"/>
    <x v="1"/>
    <s v="Travel_Rarely"/>
    <n v="1099"/>
    <x v="0"/>
    <n v="5"/>
    <n v="3"/>
    <s v="Marketing"/>
    <n v="1"/>
    <n v="1267"/>
    <n v="2"/>
    <s v="Male"/>
    <n v="88"/>
    <n v="3"/>
    <n v="5"/>
    <s v="Manager"/>
    <x v="1"/>
    <s v="Married"/>
    <x v="854"/>
    <n v="8751"/>
    <n v="7"/>
    <s v="Y"/>
    <s v="No"/>
    <n v="11"/>
    <n v="3"/>
    <n v="3"/>
    <n v="80"/>
    <n v="1"/>
    <n v="26"/>
    <n v="5"/>
    <n v="3"/>
    <n v="22"/>
    <n v="9"/>
    <n v="3"/>
    <n v="10"/>
    <s v="5+ yrs"/>
  </r>
  <r>
    <n v="33"/>
    <x v="1"/>
    <s v="Travel_Rarely"/>
    <n v="536"/>
    <x v="0"/>
    <n v="10"/>
    <n v="5"/>
    <s v="Marketing"/>
    <n v="1"/>
    <n v="1268"/>
    <n v="4"/>
    <s v="Male"/>
    <n v="82"/>
    <n v="4"/>
    <n v="3"/>
    <s v="Sales Executive"/>
    <x v="2"/>
    <s v="Divorced"/>
    <x v="855"/>
    <n v="21708"/>
    <n v="0"/>
    <s v="Y"/>
    <s v="Yes"/>
    <n v="14"/>
    <n v="3"/>
    <n v="4"/>
    <n v="80"/>
    <n v="2"/>
    <n v="10"/>
    <n v="3"/>
    <n v="3"/>
    <n v="9"/>
    <n v="8"/>
    <n v="0"/>
    <n v="8"/>
    <s v="5+ yrs"/>
  </r>
  <r>
    <n v="19"/>
    <x v="1"/>
    <s v="Travel_Rarely"/>
    <n v="265"/>
    <x v="1"/>
    <n v="25"/>
    <n v="3"/>
    <s v="Life Sciences"/>
    <n v="1"/>
    <n v="1269"/>
    <n v="2"/>
    <s v="Female"/>
    <n v="57"/>
    <n v="4"/>
    <n v="1"/>
    <s v="Research Scientist"/>
    <x v="0"/>
    <s v="Single"/>
    <x v="856"/>
    <n v="21221"/>
    <n v="1"/>
    <s v="Y"/>
    <s v="Yes"/>
    <n v="12"/>
    <n v="3"/>
    <n v="4"/>
    <n v="80"/>
    <n v="0"/>
    <n v="1"/>
    <n v="2"/>
    <n v="3"/>
    <n v="1"/>
    <n v="0"/>
    <n v="0"/>
    <n v="1"/>
    <s v="0-2 yrs"/>
  </r>
  <r>
    <n v="23"/>
    <x v="1"/>
    <s v="Travel_Rarely"/>
    <n v="373"/>
    <x v="1"/>
    <n v="1"/>
    <n v="2"/>
    <s v="Life Sciences"/>
    <n v="1"/>
    <n v="1270"/>
    <n v="4"/>
    <s v="Male"/>
    <n v="47"/>
    <n v="3"/>
    <n v="1"/>
    <s v="Research Scientist"/>
    <x v="2"/>
    <s v="Married"/>
    <x v="857"/>
    <n v="16901"/>
    <n v="1"/>
    <s v="Y"/>
    <s v="No"/>
    <n v="22"/>
    <n v="4"/>
    <n v="4"/>
    <n v="80"/>
    <n v="1"/>
    <n v="1"/>
    <n v="2"/>
    <n v="3"/>
    <n v="1"/>
    <n v="0"/>
    <n v="0"/>
    <n v="1"/>
    <s v="0-2 yrs"/>
  </r>
  <r>
    <n v="25"/>
    <x v="0"/>
    <s v="Travel_Frequently"/>
    <n v="599"/>
    <x v="0"/>
    <n v="24"/>
    <n v="1"/>
    <s v="Life Sciences"/>
    <n v="1"/>
    <n v="1273"/>
    <n v="3"/>
    <s v="Male"/>
    <n v="73"/>
    <n v="1"/>
    <n v="1"/>
    <s v="Sales Representative"/>
    <x v="0"/>
    <s v="Single"/>
    <x v="858"/>
    <n v="8040"/>
    <n v="1"/>
    <s v="Y"/>
    <s v="Yes"/>
    <n v="14"/>
    <n v="3"/>
    <n v="4"/>
    <n v="80"/>
    <n v="0"/>
    <n v="1"/>
    <n v="4"/>
    <n v="3"/>
    <n v="1"/>
    <n v="0"/>
    <n v="1"/>
    <n v="0"/>
    <s v="0-2 yrs"/>
  </r>
  <r>
    <n v="26"/>
    <x v="1"/>
    <s v="Travel_Rarely"/>
    <n v="583"/>
    <x v="1"/>
    <n v="4"/>
    <n v="2"/>
    <s v="Life Sciences"/>
    <n v="1"/>
    <n v="1275"/>
    <n v="3"/>
    <s v="Male"/>
    <n v="53"/>
    <n v="3"/>
    <n v="1"/>
    <s v="Research Scientist"/>
    <x v="0"/>
    <s v="Single"/>
    <x v="859"/>
    <n v="9973"/>
    <n v="1"/>
    <s v="Y"/>
    <s v="Yes"/>
    <n v="20"/>
    <n v="4"/>
    <n v="2"/>
    <n v="80"/>
    <n v="0"/>
    <n v="8"/>
    <n v="2"/>
    <n v="2"/>
    <n v="8"/>
    <n v="5"/>
    <n v="2"/>
    <n v="2"/>
    <s v="5+ yrs"/>
  </r>
  <r>
    <n v="45"/>
    <x v="0"/>
    <s v="Travel_Rarely"/>
    <n v="1449"/>
    <x v="0"/>
    <n v="2"/>
    <n v="3"/>
    <s v="Marketing"/>
    <n v="1"/>
    <n v="1277"/>
    <n v="1"/>
    <s v="Female"/>
    <n v="94"/>
    <n v="1"/>
    <n v="5"/>
    <s v="Manager"/>
    <x v="1"/>
    <s v="Single"/>
    <x v="860"/>
    <n v="2493"/>
    <n v="2"/>
    <s v="Y"/>
    <s v="Yes"/>
    <n v="16"/>
    <n v="3"/>
    <n v="1"/>
    <n v="80"/>
    <n v="0"/>
    <n v="26"/>
    <n v="2"/>
    <n v="3"/>
    <n v="24"/>
    <n v="10"/>
    <n v="1"/>
    <n v="11"/>
    <s v="5+ yrs"/>
  </r>
  <r>
    <n v="55"/>
    <x v="1"/>
    <s v="Non-Travel"/>
    <n v="177"/>
    <x v="1"/>
    <n v="8"/>
    <n v="1"/>
    <s v="Medical"/>
    <n v="1"/>
    <n v="1278"/>
    <n v="4"/>
    <s v="Male"/>
    <n v="37"/>
    <n v="2"/>
    <n v="4"/>
    <s v="Healthcare Representative"/>
    <x v="1"/>
    <s v="Divorced"/>
    <x v="861"/>
    <n v="25592"/>
    <n v="1"/>
    <s v="Y"/>
    <s v="Yes"/>
    <n v="15"/>
    <n v="3"/>
    <n v="4"/>
    <n v="80"/>
    <n v="1"/>
    <n v="34"/>
    <n v="3"/>
    <n v="3"/>
    <n v="33"/>
    <n v="9"/>
    <n v="15"/>
    <n v="0"/>
    <s v="5+ yrs"/>
  </r>
  <r>
    <n v="21"/>
    <x v="0"/>
    <s v="Travel_Frequently"/>
    <n v="251"/>
    <x v="1"/>
    <n v="10"/>
    <n v="2"/>
    <s v="Life Sciences"/>
    <n v="1"/>
    <n v="1279"/>
    <n v="1"/>
    <s v="Female"/>
    <n v="45"/>
    <n v="2"/>
    <n v="1"/>
    <s v="Laboratory Technician"/>
    <x v="2"/>
    <s v="Single"/>
    <x v="862"/>
    <n v="25308"/>
    <n v="1"/>
    <s v="Y"/>
    <s v="No"/>
    <n v="20"/>
    <n v="4"/>
    <n v="3"/>
    <n v="80"/>
    <n v="0"/>
    <n v="2"/>
    <n v="2"/>
    <n v="1"/>
    <n v="2"/>
    <n v="2"/>
    <n v="2"/>
    <n v="2"/>
    <s v="0-2 yrs"/>
  </r>
  <r>
    <n v="46"/>
    <x v="1"/>
    <s v="Travel_Rarely"/>
    <n v="168"/>
    <x v="0"/>
    <n v="4"/>
    <n v="2"/>
    <s v="Marketing"/>
    <n v="1"/>
    <n v="1280"/>
    <n v="4"/>
    <s v="Female"/>
    <n v="33"/>
    <n v="2"/>
    <n v="5"/>
    <s v="Manager"/>
    <x v="1"/>
    <s v="Married"/>
    <x v="863"/>
    <n v="9946"/>
    <n v="2"/>
    <s v="Y"/>
    <s v="No"/>
    <n v="14"/>
    <n v="3"/>
    <n v="3"/>
    <n v="80"/>
    <n v="1"/>
    <n v="26"/>
    <n v="2"/>
    <n v="3"/>
    <n v="11"/>
    <n v="4"/>
    <n v="0"/>
    <n v="8"/>
    <s v="5+ yrs"/>
  </r>
  <r>
    <n v="34"/>
    <x v="1"/>
    <s v="Travel_Rarely"/>
    <n v="131"/>
    <x v="0"/>
    <n v="2"/>
    <n v="3"/>
    <s v="Marketing"/>
    <n v="1"/>
    <n v="1281"/>
    <n v="3"/>
    <s v="Female"/>
    <n v="86"/>
    <n v="3"/>
    <n v="2"/>
    <s v="Sales Executive"/>
    <x v="3"/>
    <s v="Single"/>
    <x v="864"/>
    <n v="6039"/>
    <n v="0"/>
    <s v="Y"/>
    <s v="Yes"/>
    <n v="12"/>
    <n v="3"/>
    <n v="4"/>
    <n v="80"/>
    <n v="0"/>
    <n v="4"/>
    <n v="3"/>
    <n v="3"/>
    <n v="3"/>
    <n v="2"/>
    <n v="0"/>
    <n v="2"/>
    <s v="3-5 yrs"/>
  </r>
  <r>
    <n v="51"/>
    <x v="1"/>
    <s v="Travel_Frequently"/>
    <n v="237"/>
    <x v="0"/>
    <n v="9"/>
    <n v="3"/>
    <s v="Life Sciences"/>
    <n v="1"/>
    <n v="1282"/>
    <n v="4"/>
    <s v="Male"/>
    <n v="83"/>
    <n v="3"/>
    <n v="5"/>
    <s v="Manager"/>
    <x v="1"/>
    <s v="Divorced"/>
    <x v="865"/>
    <n v="19196"/>
    <n v="4"/>
    <s v="Y"/>
    <s v="Yes"/>
    <n v="24"/>
    <n v="4"/>
    <n v="1"/>
    <n v="80"/>
    <n v="1"/>
    <n v="31"/>
    <n v="5"/>
    <n v="2"/>
    <n v="29"/>
    <n v="10"/>
    <n v="11"/>
    <n v="10"/>
    <s v="5+ yrs"/>
  </r>
  <r>
    <n v="59"/>
    <x v="1"/>
    <s v="Travel_Rarely"/>
    <n v="1429"/>
    <x v="1"/>
    <n v="18"/>
    <n v="4"/>
    <s v="Medical"/>
    <n v="1"/>
    <n v="1283"/>
    <n v="4"/>
    <s v="Male"/>
    <n v="67"/>
    <n v="3"/>
    <n v="3"/>
    <s v="Manufacturing Director"/>
    <x v="0"/>
    <s v="Single"/>
    <x v="866"/>
    <n v="20002"/>
    <n v="6"/>
    <s v="Y"/>
    <s v="No"/>
    <n v="12"/>
    <n v="3"/>
    <n v="4"/>
    <n v="80"/>
    <n v="0"/>
    <n v="25"/>
    <n v="6"/>
    <n v="2"/>
    <n v="9"/>
    <n v="7"/>
    <n v="5"/>
    <n v="4"/>
    <s v="5+ yrs"/>
  </r>
  <r>
    <n v="34"/>
    <x v="1"/>
    <s v="Travel_Frequently"/>
    <n v="135"/>
    <x v="1"/>
    <n v="19"/>
    <n v="3"/>
    <s v="Medical"/>
    <n v="1"/>
    <n v="1285"/>
    <n v="3"/>
    <s v="Female"/>
    <n v="46"/>
    <n v="3"/>
    <n v="2"/>
    <s v="Laboratory Technician"/>
    <x v="1"/>
    <s v="Divorced"/>
    <x v="867"/>
    <n v="22534"/>
    <n v="4"/>
    <s v="Y"/>
    <s v="No"/>
    <n v="13"/>
    <n v="3"/>
    <n v="3"/>
    <n v="80"/>
    <n v="2"/>
    <n v="15"/>
    <n v="2"/>
    <n v="4"/>
    <n v="11"/>
    <n v="8"/>
    <n v="5"/>
    <n v="10"/>
    <s v="5+ yrs"/>
  </r>
  <r>
    <n v="28"/>
    <x v="1"/>
    <s v="Travel_Frequently"/>
    <n v="791"/>
    <x v="1"/>
    <n v="1"/>
    <n v="4"/>
    <s v="Medical"/>
    <n v="1"/>
    <n v="1286"/>
    <n v="4"/>
    <s v="Male"/>
    <n v="44"/>
    <n v="3"/>
    <n v="1"/>
    <s v="Laboratory Technician"/>
    <x v="2"/>
    <s v="Single"/>
    <x v="868"/>
    <n v="6842"/>
    <n v="0"/>
    <s v="Y"/>
    <s v="Yes"/>
    <n v="11"/>
    <n v="3"/>
    <n v="3"/>
    <n v="80"/>
    <n v="0"/>
    <n v="5"/>
    <n v="2"/>
    <n v="2"/>
    <n v="4"/>
    <n v="2"/>
    <n v="0"/>
    <n v="2"/>
    <s v="3-5 yrs"/>
  </r>
  <r>
    <n v="44"/>
    <x v="1"/>
    <s v="Travel_Rarely"/>
    <n v="1199"/>
    <x v="1"/>
    <n v="4"/>
    <n v="2"/>
    <s v="Life Sciences"/>
    <n v="1"/>
    <n v="1288"/>
    <n v="3"/>
    <s v="Male"/>
    <n v="92"/>
    <n v="4"/>
    <n v="5"/>
    <s v="Manager"/>
    <x v="3"/>
    <s v="Divorced"/>
    <x v="869"/>
    <n v="17477"/>
    <n v="1"/>
    <s v="Y"/>
    <s v="No"/>
    <n v="14"/>
    <n v="3"/>
    <n v="4"/>
    <n v="80"/>
    <n v="2"/>
    <n v="26"/>
    <n v="4"/>
    <n v="2"/>
    <n v="25"/>
    <n v="9"/>
    <n v="14"/>
    <n v="13"/>
    <s v="5+ yrs"/>
  </r>
  <r>
    <n v="34"/>
    <x v="1"/>
    <s v="Travel_Frequently"/>
    <n v="648"/>
    <x v="2"/>
    <n v="11"/>
    <n v="3"/>
    <s v="Life Sciences"/>
    <n v="1"/>
    <n v="1289"/>
    <n v="3"/>
    <s v="Male"/>
    <n v="56"/>
    <n v="2"/>
    <n v="2"/>
    <s v="Human Resources"/>
    <x v="1"/>
    <s v="Married"/>
    <x v="870"/>
    <n v="21833"/>
    <n v="4"/>
    <s v="Y"/>
    <s v="No"/>
    <n v="11"/>
    <n v="3"/>
    <n v="4"/>
    <n v="80"/>
    <n v="2"/>
    <n v="14"/>
    <n v="5"/>
    <n v="4"/>
    <n v="10"/>
    <n v="9"/>
    <n v="1"/>
    <n v="8"/>
    <s v="5+ yrs"/>
  </r>
  <r>
    <n v="35"/>
    <x v="1"/>
    <s v="Travel_Rarely"/>
    <n v="735"/>
    <x v="1"/>
    <n v="6"/>
    <n v="1"/>
    <s v="Life Sciences"/>
    <n v="1"/>
    <n v="1291"/>
    <n v="3"/>
    <s v="Male"/>
    <n v="66"/>
    <n v="3"/>
    <n v="1"/>
    <s v="Research Scientist"/>
    <x v="2"/>
    <s v="Married"/>
    <x v="871"/>
    <n v="6020"/>
    <n v="0"/>
    <s v="Y"/>
    <s v="Yes"/>
    <n v="14"/>
    <n v="3"/>
    <n v="4"/>
    <n v="80"/>
    <n v="0"/>
    <n v="4"/>
    <n v="3"/>
    <n v="3"/>
    <n v="3"/>
    <n v="2"/>
    <n v="2"/>
    <n v="2"/>
    <s v="3-5 yrs"/>
  </r>
  <r>
    <n v="42"/>
    <x v="1"/>
    <s v="Travel_Rarely"/>
    <n v="603"/>
    <x v="1"/>
    <n v="7"/>
    <n v="4"/>
    <s v="Medical"/>
    <n v="1"/>
    <n v="1292"/>
    <n v="2"/>
    <s v="Female"/>
    <n v="78"/>
    <n v="4"/>
    <n v="2"/>
    <s v="Research Scientist"/>
    <x v="1"/>
    <s v="Married"/>
    <x v="872"/>
    <n v="5628"/>
    <n v="6"/>
    <s v="Y"/>
    <s v="Yes"/>
    <n v="16"/>
    <n v="3"/>
    <n v="4"/>
    <n v="80"/>
    <n v="0"/>
    <n v="18"/>
    <n v="2"/>
    <n v="3"/>
    <n v="1"/>
    <n v="0"/>
    <n v="0"/>
    <n v="0"/>
    <s v="0-2 yrs"/>
  </r>
  <r>
    <n v="43"/>
    <x v="1"/>
    <s v="Travel_Rarely"/>
    <n v="531"/>
    <x v="0"/>
    <n v="4"/>
    <n v="4"/>
    <s v="Marketing"/>
    <n v="1"/>
    <n v="1293"/>
    <n v="4"/>
    <s v="Female"/>
    <n v="56"/>
    <n v="2"/>
    <n v="3"/>
    <s v="Sales Executive"/>
    <x v="0"/>
    <s v="Single"/>
    <x v="873"/>
    <n v="20364"/>
    <n v="3"/>
    <s v="Y"/>
    <s v="No"/>
    <n v="14"/>
    <n v="3"/>
    <n v="4"/>
    <n v="80"/>
    <n v="0"/>
    <n v="23"/>
    <n v="3"/>
    <n v="4"/>
    <n v="21"/>
    <n v="7"/>
    <n v="15"/>
    <n v="17"/>
    <s v="5+ yrs"/>
  </r>
  <r>
    <n v="36"/>
    <x v="1"/>
    <s v="Travel_Rarely"/>
    <n v="429"/>
    <x v="1"/>
    <n v="2"/>
    <n v="4"/>
    <s v="Life Sciences"/>
    <n v="1"/>
    <n v="1294"/>
    <n v="3"/>
    <s v="Female"/>
    <n v="53"/>
    <n v="3"/>
    <n v="2"/>
    <s v="Manufacturing Director"/>
    <x v="1"/>
    <s v="Single"/>
    <x v="874"/>
    <n v="2323"/>
    <n v="9"/>
    <s v="Y"/>
    <s v="Yes"/>
    <n v="11"/>
    <n v="3"/>
    <n v="4"/>
    <n v="80"/>
    <n v="0"/>
    <n v="18"/>
    <n v="2"/>
    <n v="3"/>
    <n v="16"/>
    <n v="14"/>
    <n v="5"/>
    <n v="12"/>
    <s v="5+ yrs"/>
  </r>
  <r>
    <n v="44"/>
    <x v="0"/>
    <s v="Travel_Rarely"/>
    <n v="621"/>
    <x v="1"/>
    <n v="15"/>
    <n v="3"/>
    <s v="Medical"/>
    <n v="1"/>
    <n v="1295"/>
    <n v="1"/>
    <s v="Female"/>
    <n v="73"/>
    <n v="3"/>
    <n v="3"/>
    <s v="Healthcare Representative"/>
    <x v="0"/>
    <s v="Married"/>
    <x v="875"/>
    <n v="14075"/>
    <n v="1"/>
    <s v="Y"/>
    <s v="No"/>
    <n v="11"/>
    <n v="3"/>
    <n v="4"/>
    <n v="80"/>
    <n v="1"/>
    <n v="10"/>
    <n v="2"/>
    <n v="3"/>
    <n v="10"/>
    <n v="7"/>
    <n v="0"/>
    <n v="5"/>
    <s v="5+ yrs"/>
  </r>
  <r>
    <n v="28"/>
    <x v="1"/>
    <s v="Travel_Frequently"/>
    <n v="193"/>
    <x v="1"/>
    <n v="2"/>
    <n v="3"/>
    <s v="Life Sciences"/>
    <n v="1"/>
    <n v="1296"/>
    <n v="4"/>
    <s v="Male"/>
    <n v="52"/>
    <n v="2"/>
    <n v="1"/>
    <s v="Laboratory Technician"/>
    <x v="0"/>
    <s v="Married"/>
    <x v="876"/>
    <n v="14222"/>
    <n v="1"/>
    <s v="Y"/>
    <s v="Yes"/>
    <n v="12"/>
    <n v="3"/>
    <n v="2"/>
    <n v="80"/>
    <n v="1"/>
    <n v="2"/>
    <n v="2"/>
    <n v="3"/>
    <n v="2"/>
    <n v="2"/>
    <n v="2"/>
    <n v="2"/>
    <s v="0-2 yrs"/>
  </r>
  <r>
    <n v="51"/>
    <x v="1"/>
    <s v="Travel_Frequently"/>
    <n v="968"/>
    <x v="1"/>
    <n v="6"/>
    <n v="2"/>
    <s v="Medical"/>
    <n v="1"/>
    <n v="1297"/>
    <n v="2"/>
    <s v="Female"/>
    <n v="40"/>
    <n v="2"/>
    <n v="1"/>
    <s v="Laboratory Technician"/>
    <x v="2"/>
    <s v="Single"/>
    <x v="877"/>
    <n v="4257"/>
    <n v="0"/>
    <s v="Y"/>
    <s v="No"/>
    <n v="14"/>
    <n v="3"/>
    <n v="2"/>
    <n v="80"/>
    <n v="0"/>
    <n v="8"/>
    <n v="6"/>
    <n v="2"/>
    <n v="7"/>
    <n v="0"/>
    <n v="7"/>
    <n v="7"/>
    <s v="5+ yrs"/>
  </r>
  <r>
    <n v="30"/>
    <x v="1"/>
    <s v="Non-Travel"/>
    <n v="879"/>
    <x v="1"/>
    <n v="9"/>
    <n v="2"/>
    <s v="Medical"/>
    <n v="1"/>
    <n v="1298"/>
    <n v="3"/>
    <s v="Female"/>
    <n v="72"/>
    <n v="3"/>
    <n v="2"/>
    <s v="Manufacturing Director"/>
    <x v="2"/>
    <s v="Single"/>
    <x v="878"/>
    <n v="12858"/>
    <n v="7"/>
    <s v="Y"/>
    <s v="Yes"/>
    <n v="18"/>
    <n v="3"/>
    <n v="3"/>
    <n v="80"/>
    <n v="0"/>
    <n v="10"/>
    <n v="3"/>
    <n v="3"/>
    <n v="8"/>
    <n v="4"/>
    <n v="1"/>
    <n v="7"/>
    <s v="5+ yrs"/>
  </r>
  <r>
    <n v="29"/>
    <x v="0"/>
    <s v="Travel_Rarely"/>
    <n v="806"/>
    <x v="1"/>
    <n v="7"/>
    <n v="3"/>
    <s v="Technical Degree"/>
    <n v="1"/>
    <n v="1299"/>
    <n v="2"/>
    <s v="Female"/>
    <n v="39"/>
    <n v="3"/>
    <n v="1"/>
    <s v="Laboratory Technician"/>
    <x v="2"/>
    <s v="Divorced"/>
    <x v="879"/>
    <n v="17285"/>
    <n v="3"/>
    <s v="Y"/>
    <s v="Yes"/>
    <n v="13"/>
    <n v="3"/>
    <n v="1"/>
    <n v="80"/>
    <n v="2"/>
    <n v="10"/>
    <n v="2"/>
    <n v="3"/>
    <n v="7"/>
    <n v="7"/>
    <n v="7"/>
    <n v="7"/>
    <s v="5+ yrs"/>
  </r>
  <r>
    <n v="28"/>
    <x v="1"/>
    <s v="Travel_Rarely"/>
    <n v="640"/>
    <x v="1"/>
    <n v="1"/>
    <n v="3"/>
    <s v="Technical Degree"/>
    <n v="1"/>
    <n v="1301"/>
    <n v="4"/>
    <s v="Male"/>
    <n v="84"/>
    <n v="3"/>
    <n v="1"/>
    <s v="Research Scientist"/>
    <x v="3"/>
    <s v="Single"/>
    <x v="880"/>
    <n v="4732"/>
    <n v="2"/>
    <s v="Y"/>
    <s v="No"/>
    <n v="11"/>
    <n v="3"/>
    <n v="2"/>
    <n v="80"/>
    <n v="0"/>
    <n v="5"/>
    <n v="2"/>
    <n v="2"/>
    <n v="3"/>
    <n v="2"/>
    <n v="1"/>
    <n v="2"/>
    <s v="3-5 yrs"/>
  </r>
  <r>
    <n v="25"/>
    <x v="1"/>
    <s v="Travel_Rarely"/>
    <n v="266"/>
    <x v="1"/>
    <n v="1"/>
    <n v="3"/>
    <s v="Medical"/>
    <n v="1"/>
    <n v="1303"/>
    <n v="4"/>
    <s v="Female"/>
    <n v="40"/>
    <n v="3"/>
    <n v="1"/>
    <s v="Research Scientist"/>
    <x v="1"/>
    <s v="Single"/>
    <x v="461"/>
    <n v="18830"/>
    <n v="1"/>
    <s v="Y"/>
    <s v="No"/>
    <n v="18"/>
    <n v="3"/>
    <n v="4"/>
    <n v="80"/>
    <n v="0"/>
    <n v="2"/>
    <n v="3"/>
    <n v="2"/>
    <n v="2"/>
    <n v="2"/>
    <n v="2"/>
    <n v="1"/>
    <s v="0-2 yrs"/>
  </r>
  <r>
    <n v="32"/>
    <x v="1"/>
    <s v="Travel_Rarely"/>
    <n v="604"/>
    <x v="0"/>
    <n v="8"/>
    <n v="3"/>
    <s v="Medical"/>
    <n v="1"/>
    <n v="1304"/>
    <n v="3"/>
    <s v="Male"/>
    <n v="56"/>
    <n v="4"/>
    <n v="2"/>
    <s v="Sales Executive"/>
    <x v="0"/>
    <s v="Married"/>
    <x v="881"/>
    <n v="11693"/>
    <n v="1"/>
    <s v="Y"/>
    <s v="No"/>
    <n v="15"/>
    <n v="3"/>
    <n v="3"/>
    <n v="80"/>
    <n v="2"/>
    <n v="10"/>
    <n v="4"/>
    <n v="4"/>
    <n v="10"/>
    <n v="7"/>
    <n v="0"/>
    <n v="8"/>
    <s v="5+ yrs"/>
  </r>
  <r>
    <n v="45"/>
    <x v="1"/>
    <s v="Travel_Frequently"/>
    <n v="364"/>
    <x v="1"/>
    <n v="25"/>
    <n v="3"/>
    <s v="Medical"/>
    <n v="1"/>
    <n v="1306"/>
    <n v="2"/>
    <s v="Female"/>
    <n v="83"/>
    <n v="3"/>
    <n v="5"/>
    <s v="Manager"/>
    <x v="1"/>
    <s v="Single"/>
    <x v="882"/>
    <n v="13035"/>
    <n v="3"/>
    <s v="Y"/>
    <s v="No"/>
    <n v="22"/>
    <n v="4"/>
    <n v="3"/>
    <n v="80"/>
    <n v="0"/>
    <n v="22"/>
    <n v="4"/>
    <n v="3"/>
    <n v="0"/>
    <n v="0"/>
    <n v="0"/>
    <n v="0"/>
    <s v="0-2 yrs"/>
  </r>
  <r>
    <n v="39"/>
    <x v="1"/>
    <s v="Travel_Rarely"/>
    <n v="412"/>
    <x v="1"/>
    <n v="13"/>
    <n v="4"/>
    <s v="Medical"/>
    <n v="1"/>
    <n v="1307"/>
    <n v="3"/>
    <s v="Female"/>
    <n v="94"/>
    <n v="2"/>
    <n v="4"/>
    <s v="Manager"/>
    <x v="1"/>
    <s v="Divorced"/>
    <x v="883"/>
    <n v="17334"/>
    <n v="6"/>
    <s v="Y"/>
    <s v="Yes"/>
    <n v="13"/>
    <n v="3"/>
    <n v="4"/>
    <n v="80"/>
    <n v="2"/>
    <n v="21"/>
    <n v="4"/>
    <n v="3"/>
    <n v="19"/>
    <n v="9"/>
    <n v="15"/>
    <n v="2"/>
    <s v="5+ yrs"/>
  </r>
  <r>
    <n v="58"/>
    <x v="1"/>
    <s v="Travel_Rarely"/>
    <n v="848"/>
    <x v="1"/>
    <n v="23"/>
    <n v="4"/>
    <s v="Life Sciences"/>
    <n v="1"/>
    <n v="1308"/>
    <n v="1"/>
    <s v="Male"/>
    <n v="88"/>
    <n v="3"/>
    <n v="1"/>
    <s v="Research Scientist"/>
    <x v="2"/>
    <s v="Divorced"/>
    <x v="872"/>
    <n v="26076"/>
    <n v="1"/>
    <s v="Y"/>
    <s v="No"/>
    <n v="12"/>
    <n v="3"/>
    <n v="4"/>
    <n v="80"/>
    <n v="2"/>
    <n v="2"/>
    <n v="3"/>
    <n v="3"/>
    <n v="2"/>
    <n v="2"/>
    <n v="2"/>
    <n v="2"/>
    <s v="0-2 yrs"/>
  </r>
  <r>
    <n v="32"/>
    <x v="0"/>
    <s v="Travel_Rarely"/>
    <n v="1089"/>
    <x v="1"/>
    <n v="7"/>
    <n v="2"/>
    <s v="Life Sciences"/>
    <n v="1"/>
    <n v="1309"/>
    <n v="4"/>
    <s v="Male"/>
    <n v="79"/>
    <n v="3"/>
    <n v="2"/>
    <s v="Laboratory Technician"/>
    <x v="2"/>
    <s v="Married"/>
    <x v="884"/>
    <n v="22845"/>
    <n v="1"/>
    <s v="Y"/>
    <s v="No"/>
    <n v="18"/>
    <n v="3"/>
    <n v="1"/>
    <n v="80"/>
    <n v="1"/>
    <n v="10"/>
    <n v="3"/>
    <n v="3"/>
    <n v="10"/>
    <n v="4"/>
    <n v="1"/>
    <n v="1"/>
    <s v="5+ yrs"/>
  </r>
  <r>
    <n v="39"/>
    <x v="0"/>
    <s v="Travel_Rarely"/>
    <n v="360"/>
    <x v="1"/>
    <n v="23"/>
    <n v="3"/>
    <s v="Medical"/>
    <n v="1"/>
    <n v="1310"/>
    <n v="3"/>
    <s v="Male"/>
    <n v="93"/>
    <n v="3"/>
    <n v="1"/>
    <s v="Research Scientist"/>
    <x v="3"/>
    <s v="Single"/>
    <x v="885"/>
    <n v="22154"/>
    <n v="0"/>
    <s v="Y"/>
    <s v="No"/>
    <n v="13"/>
    <n v="3"/>
    <n v="1"/>
    <n v="80"/>
    <n v="0"/>
    <n v="6"/>
    <n v="2"/>
    <n v="3"/>
    <n v="5"/>
    <n v="2"/>
    <n v="0"/>
    <n v="3"/>
    <s v="3-5 yrs"/>
  </r>
  <r>
    <n v="30"/>
    <x v="1"/>
    <s v="Travel_Rarely"/>
    <n v="1138"/>
    <x v="1"/>
    <n v="6"/>
    <n v="3"/>
    <s v="Technical Degree"/>
    <n v="1"/>
    <n v="1311"/>
    <n v="1"/>
    <s v="Female"/>
    <n v="48"/>
    <n v="2"/>
    <n v="2"/>
    <s v="Laboratory Technician"/>
    <x v="0"/>
    <s v="Married"/>
    <x v="886"/>
    <n v="23631"/>
    <n v="0"/>
    <s v="Y"/>
    <s v="No"/>
    <n v="12"/>
    <n v="3"/>
    <n v="1"/>
    <n v="80"/>
    <n v="1"/>
    <n v="10"/>
    <n v="6"/>
    <n v="3"/>
    <n v="9"/>
    <n v="2"/>
    <n v="6"/>
    <n v="7"/>
    <s v="5+ yrs"/>
  </r>
  <r>
    <n v="36"/>
    <x v="1"/>
    <s v="Travel_Rarely"/>
    <n v="325"/>
    <x v="1"/>
    <n v="10"/>
    <n v="4"/>
    <s v="Technical Degree"/>
    <n v="1"/>
    <n v="1312"/>
    <n v="4"/>
    <s v="Female"/>
    <n v="63"/>
    <n v="3"/>
    <n v="3"/>
    <s v="Healthcare Representative"/>
    <x v="2"/>
    <s v="Married"/>
    <x v="887"/>
    <n v="5747"/>
    <n v="3"/>
    <s v="Y"/>
    <s v="No"/>
    <n v="12"/>
    <n v="3"/>
    <n v="1"/>
    <n v="80"/>
    <n v="0"/>
    <n v="10"/>
    <n v="0"/>
    <n v="3"/>
    <n v="7"/>
    <n v="7"/>
    <n v="1"/>
    <n v="7"/>
    <s v="5+ yrs"/>
  </r>
  <r>
    <n v="46"/>
    <x v="1"/>
    <s v="Travel_Rarely"/>
    <n v="991"/>
    <x v="2"/>
    <n v="1"/>
    <n v="2"/>
    <s v="Life Sciences"/>
    <n v="1"/>
    <n v="1314"/>
    <n v="4"/>
    <s v="Female"/>
    <n v="44"/>
    <n v="3"/>
    <n v="1"/>
    <s v="Human Resources"/>
    <x v="3"/>
    <s v="Single"/>
    <x v="888"/>
    <n v="22957"/>
    <n v="6"/>
    <s v="Y"/>
    <s v="No"/>
    <n v="12"/>
    <n v="3"/>
    <n v="3"/>
    <n v="80"/>
    <n v="0"/>
    <n v="10"/>
    <n v="3"/>
    <n v="4"/>
    <n v="7"/>
    <n v="6"/>
    <n v="5"/>
    <n v="7"/>
    <s v="5+ yrs"/>
  </r>
  <r>
    <n v="28"/>
    <x v="1"/>
    <s v="Non-Travel"/>
    <n v="1476"/>
    <x v="1"/>
    <n v="1"/>
    <n v="3"/>
    <s v="Life Sciences"/>
    <n v="1"/>
    <n v="1315"/>
    <n v="3"/>
    <s v="Female"/>
    <n v="55"/>
    <n v="1"/>
    <n v="2"/>
    <s v="Laboratory Technician"/>
    <x v="0"/>
    <s v="Married"/>
    <x v="889"/>
    <n v="16392"/>
    <n v="0"/>
    <s v="Y"/>
    <s v="No"/>
    <n v="11"/>
    <n v="3"/>
    <n v="1"/>
    <n v="80"/>
    <n v="3"/>
    <n v="10"/>
    <n v="6"/>
    <n v="3"/>
    <n v="9"/>
    <n v="8"/>
    <n v="7"/>
    <n v="5"/>
    <s v="5+ yrs"/>
  </r>
  <r>
    <n v="50"/>
    <x v="1"/>
    <s v="Travel_Rarely"/>
    <n v="1322"/>
    <x v="1"/>
    <n v="28"/>
    <n v="3"/>
    <s v="Life Sciences"/>
    <n v="1"/>
    <n v="1317"/>
    <n v="4"/>
    <s v="Female"/>
    <n v="43"/>
    <n v="3"/>
    <n v="4"/>
    <s v="Research Director"/>
    <x v="3"/>
    <s v="Married"/>
    <x v="890"/>
    <n v="22422"/>
    <n v="4"/>
    <s v="Y"/>
    <s v="Yes"/>
    <n v="11"/>
    <n v="3"/>
    <n v="2"/>
    <n v="80"/>
    <n v="0"/>
    <n v="25"/>
    <n v="2"/>
    <n v="3"/>
    <n v="3"/>
    <n v="2"/>
    <n v="1"/>
    <n v="2"/>
    <s v="3-5 yrs"/>
  </r>
  <r>
    <n v="40"/>
    <x v="0"/>
    <s v="Travel_Rarely"/>
    <n v="299"/>
    <x v="0"/>
    <n v="25"/>
    <n v="4"/>
    <s v="Marketing"/>
    <n v="1"/>
    <n v="1318"/>
    <n v="4"/>
    <s v="Male"/>
    <n v="57"/>
    <n v="2"/>
    <n v="3"/>
    <s v="Sales Executive"/>
    <x v="1"/>
    <s v="Single"/>
    <x v="891"/>
    <n v="17235"/>
    <n v="2"/>
    <s v="Y"/>
    <s v="Yes"/>
    <n v="12"/>
    <n v="3"/>
    <n v="3"/>
    <n v="80"/>
    <n v="0"/>
    <n v="9"/>
    <n v="2"/>
    <n v="3"/>
    <n v="5"/>
    <n v="4"/>
    <n v="1"/>
    <n v="0"/>
    <s v="3-5 yrs"/>
  </r>
  <r>
    <n v="52"/>
    <x v="0"/>
    <s v="Travel_Rarely"/>
    <n v="1030"/>
    <x v="0"/>
    <n v="5"/>
    <n v="3"/>
    <s v="Life Sciences"/>
    <n v="1"/>
    <n v="1319"/>
    <n v="2"/>
    <s v="Male"/>
    <n v="64"/>
    <n v="3"/>
    <n v="3"/>
    <s v="Sales Executive"/>
    <x v="1"/>
    <s v="Single"/>
    <x v="892"/>
    <n v="21534"/>
    <n v="9"/>
    <s v="Y"/>
    <s v="Yes"/>
    <n v="19"/>
    <n v="3"/>
    <n v="3"/>
    <n v="80"/>
    <n v="0"/>
    <n v="10"/>
    <n v="2"/>
    <n v="2"/>
    <n v="8"/>
    <n v="7"/>
    <n v="7"/>
    <n v="7"/>
    <s v="5+ yrs"/>
  </r>
  <r>
    <n v="30"/>
    <x v="1"/>
    <s v="Travel_Rarely"/>
    <n v="634"/>
    <x v="1"/>
    <n v="17"/>
    <n v="4"/>
    <s v="Medical"/>
    <n v="1"/>
    <n v="1321"/>
    <n v="2"/>
    <s v="Female"/>
    <n v="95"/>
    <n v="3"/>
    <n v="3"/>
    <s v="Manager"/>
    <x v="3"/>
    <s v="Married"/>
    <x v="893"/>
    <n v="25927"/>
    <n v="1"/>
    <s v="Y"/>
    <s v="Yes"/>
    <n v="23"/>
    <n v="4"/>
    <n v="4"/>
    <n v="80"/>
    <n v="2"/>
    <n v="9"/>
    <n v="2"/>
    <n v="3"/>
    <n v="9"/>
    <n v="1"/>
    <n v="0"/>
    <n v="8"/>
    <s v="5+ yrs"/>
  </r>
  <r>
    <n v="39"/>
    <x v="1"/>
    <s v="Travel_Rarely"/>
    <n v="524"/>
    <x v="1"/>
    <n v="18"/>
    <n v="2"/>
    <s v="Life Sciences"/>
    <n v="1"/>
    <n v="1322"/>
    <n v="1"/>
    <s v="Male"/>
    <n v="32"/>
    <n v="3"/>
    <n v="2"/>
    <s v="Manufacturing Director"/>
    <x v="2"/>
    <s v="Single"/>
    <x v="894"/>
    <n v="13352"/>
    <n v="0"/>
    <s v="Y"/>
    <s v="No"/>
    <n v="11"/>
    <n v="3"/>
    <n v="1"/>
    <n v="80"/>
    <n v="0"/>
    <n v="9"/>
    <n v="6"/>
    <n v="3"/>
    <n v="8"/>
    <n v="7"/>
    <n v="1"/>
    <n v="7"/>
    <s v="5+ yrs"/>
  </r>
  <r>
    <n v="31"/>
    <x v="1"/>
    <s v="Non-Travel"/>
    <n v="587"/>
    <x v="0"/>
    <n v="2"/>
    <n v="4"/>
    <s v="Life Sciences"/>
    <n v="1"/>
    <n v="1324"/>
    <n v="4"/>
    <s v="Female"/>
    <n v="57"/>
    <n v="3"/>
    <n v="3"/>
    <s v="Sales Executive"/>
    <x v="2"/>
    <s v="Divorced"/>
    <x v="895"/>
    <n v="8935"/>
    <n v="1"/>
    <s v="Y"/>
    <s v="Yes"/>
    <n v="19"/>
    <n v="3"/>
    <n v="1"/>
    <n v="80"/>
    <n v="1"/>
    <n v="10"/>
    <n v="5"/>
    <n v="2"/>
    <n v="10"/>
    <n v="8"/>
    <n v="9"/>
    <n v="6"/>
    <s v="5+ yrs"/>
  </r>
  <r>
    <n v="41"/>
    <x v="1"/>
    <s v="Non-Travel"/>
    <n v="256"/>
    <x v="0"/>
    <n v="10"/>
    <n v="2"/>
    <s v="Medical"/>
    <n v="1"/>
    <n v="1329"/>
    <n v="3"/>
    <s v="Male"/>
    <n v="40"/>
    <n v="1"/>
    <n v="2"/>
    <s v="Sales Executive"/>
    <x v="1"/>
    <s v="Single"/>
    <x v="896"/>
    <n v="22074"/>
    <n v="1"/>
    <s v="Y"/>
    <s v="No"/>
    <n v="13"/>
    <n v="3"/>
    <n v="1"/>
    <n v="80"/>
    <n v="0"/>
    <n v="19"/>
    <n v="4"/>
    <n v="3"/>
    <n v="19"/>
    <n v="2"/>
    <n v="11"/>
    <n v="9"/>
    <s v="5+ yrs"/>
  </r>
  <r>
    <n v="31"/>
    <x v="0"/>
    <s v="Travel_Frequently"/>
    <n v="1060"/>
    <x v="0"/>
    <n v="1"/>
    <n v="3"/>
    <s v="Life Sciences"/>
    <n v="1"/>
    <n v="1331"/>
    <n v="4"/>
    <s v="Female"/>
    <n v="54"/>
    <n v="3"/>
    <n v="1"/>
    <s v="Sales Representative"/>
    <x v="1"/>
    <s v="Single"/>
    <x v="897"/>
    <n v="8319"/>
    <n v="1"/>
    <s v="Y"/>
    <s v="Yes"/>
    <n v="11"/>
    <n v="3"/>
    <n v="1"/>
    <n v="80"/>
    <n v="0"/>
    <n v="3"/>
    <n v="2"/>
    <n v="4"/>
    <n v="3"/>
    <n v="2"/>
    <n v="2"/>
    <n v="2"/>
    <s v="3-5 yrs"/>
  </r>
  <r>
    <n v="44"/>
    <x v="0"/>
    <s v="Travel_Rarely"/>
    <n v="935"/>
    <x v="1"/>
    <n v="3"/>
    <n v="3"/>
    <s v="Life Sciences"/>
    <n v="1"/>
    <n v="1333"/>
    <n v="1"/>
    <s v="Male"/>
    <n v="89"/>
    <n v="3"/>
    <n v="1"/>
    <s v="Laboratory Technician"/>
    <x v="3"/>
    <s v="Married"/>
    <x v="898"/>
    <n v="14669"/>
    <n v="4"/>
    <s v="Y"/>
    <s v="No"/>
    <n v="12"/>
    <n v="3"/>
    <n v="3"/>
    <n v="80"/>
    <n v="0"/>
    <n v="10"/>
    <n v="4"/>
    <n v="4"/>
    <n v="3"/>
    <n v="2"/>
    <n v="1"/>
    <n v="2"/>
    <s v="3-5 yrs"/>
  </r>
  <r>
    <n v="42"/>
    <x v="1"/>
    <s v="Non-Travel"/>
    <n v="495"/>
    <x v="1"/>
    <n v="2"/>
    <n v="1"/>
    <s v="Life Sciences"/>
    <n v="1"/>
    <n v="1334"/>
    <n v="3"/>
    <s v="Male"/>
    <n v="37"/>
    <n v="3"/>
    <n v="4"/>
    <s v="Manager"/>
    <x v="2"/>
    <s v="Married"/>
    <x v="417"/>
    <n v="26582"/>
    <n v="0"/>
    <s v="Y"/>
    <s v="Yes"/>
    <n v="13"/>
    <n v="3"/>
    <n v="4"/>
    <n v="80"/>
    <n v="0"/>
    <n v="21"/>
    <n v="3"/>
    <n v="2"/>
    <n v="20"/>
    <n v="8"/>
    <n v="2"/>
    <n v="10"/>
    <s v="5+ yrs"/>
  </r>
  <r>
    <n v="55"/>
    <x v="1"/>
    <s v="Travel_Rarely"/>
    <n v="282"/>
    <x v="1"/>
    <n v="2"/>
    <n v="2"/>
    <s v="Medical"/>
    <n v="1"/>
    <n v="1336"/>
    <n v="4"/>
    <s v="Female"/>
    <n v="58"/>
    <n v="1"/>
    <n v="5"/>
    <s v="Manager"/>
    <x v="2"/>
    <s v="Married"/>
    <x v="899"/>
    <n v="6992"/>
    <n v="4"/>
    <s v="Y"/>
    <s v="No"/>
    <n v="14"/>
    <n v="3"/>
    <n v="4"/>
    <n v="80"/>
    <n v="1"/>
    <n v="23"/>
    <n v="5"/>
    <n v="3"/>
    <n v="19"/>
    <n v="9"/>
    <n v="9"/>
    <n v="11"/>
    <s v="5+ yrs"/>
  </r>
  <r>
    <n v="56"/>
    <x v="1"/>
    <s v="Travel_Rarely"/>
    <n v="206"/>
    <x v="2"/>
    <n v="8"/>
    <n v="4"/>
    <s v="Life Sciences"/>
    <n v="1"/>
    <n v="1338"/>
    <n v="4"/>
    <s v="Male"/>
    <n v="99"/>
    <n v="3"/>
    <n v="5"/>
    <s v="Manager"/>
    <x v="1"/>
    <s v="Single"/>
    <x v="900"/>
    <n v="4022"/>
    <n v="6"/>
    <s v="Y"/>
    <s v="No"/>
    <n v="14"/>
    <n v="3"/>
    <n v="1"/>
    <n v="80"/>
    <n v="0"/>
    <n v="36"/>
    <n v="4"/>
    <n v="3"/>
    <n v="7"/>
    <n v="3"/>
    <n v="7"/>
    <n v="7"/>
    <s v="5+ yrs"/>
  </r>
  <r>
    <n v="40"/>
    <x v="1"/>
    <s v="Non-Travel"/>
    <n v="458"/>
    <x v="1"/>
    <n v="16"/>
    <n v="2"/>
    <s v="Life Sciences"/>
    <n v="1"/>
    <n v="1340"/>
    <n v="3"/>
    <s v="Male"/>
    <n v="74"/>
    <n v="3"/>
    <n v="1"/>
    <s v="Research Scientist"/>
    <x v="2"/>
    <s v="Divorced"/>
    <x v="901"/>
    <n v="8532"/>
    <n v="9"/>
    <s v="Y"/>
    <s v="No"/>
    <n v="16"/>
    <n v="3"/>
    <n v="2"/>
    <n v="80"/>
    <n v="1"/>
    <n v="6"/>
    <n v="0"/>
    <n v="3"/>
    <n v="4"/>
    <n v="2"/>
    <n v="0"/>
    <n v="0"/>
    <s v="3-5 yrs"/>
  </r>
  <r>
    <n v="34"/>
    <x v="1"/>
    <s v="Travel_Rarely"/>
    <n v="943"/>
    <x v="1"/>
    <n v="9"/>
    <n v="3"/>
    <s v="Life Sciences"/>
    <n v="1"/>
    <n v="1344"/>
    <n v="4"/>
    <s v="Male"/>
    <n v="86"/>
    <n v="3"/>
    <n v="3"/>
    <s v="Healthcare Representative"/>
    <x v="0"/>
    <s v="Divorced"/>
    <x v="902"/>
    <n v="5494"/>
    <n v="0"/>
    <s v="Y"/>
    <s v="No"/>
    <n v="11"/>
    <n v="3"/>
    <n v="4"/>
    <n v="80"/>
    <n v="1"/>
    <n v="10"/>
    <n v="0"/>
    <n v="2"/>
    <n v="9"/>
    <n v="7"/>
    <n v="1"/>
    <n v="6"/>
    <s v="5+ yrs"/>
  </r>
  <r>
    <n v="40"/>
    <x v="1"/>
    <s v="Travel_Rarely"/>
    <n v="523"/>
    <x v="1"/>
    <n v="2"/>
    <n v="3"/>
    <s v="Life Sciences"/>
    <n v="1"/>
    <n v="1346"/>
    <n v="3"/>
    <s v="Male"/>
    <n v="98"/>
    <n v="3"/>
    <n v="2"/>
    <s v="Research Scientist"/>
    <x v="0"/>
    <s v="Single"/>
    <x v="903"/>
    <n v="22455"/>
    <n v="1"/>
    <s v="Y"/>
    <s v="No"/>
    <n v="13"/>
    <n v="3"/>
    <n v="3"/>
    <n v="80"/>
    <n v="0"/>
    <n v="9"/>
    <n v="4"/>
    <n v="3"/>
    <n v="9"/>
    <n v="8"/>
    <n v="8"/>
    <n v="8"/>
    <s v="5+ yrs"/>
  </r>
  <r>
    <n v="41"/>
    <x v="1"/>
    <s v="Travel_Frequently"/>
    <n v="1018"/>
    <x v="0"/>
    <n v="1"/>
    <n v="3"/>
    <s v="Marketing"/>
    <n v="1"/>
    <n v="1349"/>
    <n v="3"/>
    <s v="Female"/>
    <n v="66"/>
    <n v="3"/>
    <n v="2"/>
    <s v="Sales Executive"/>
    <x v="3"/>
    <s v="Divorced"/>
    <x v="904"/>
    <n v="4297"/>
    <n v="0"/>
    <s v="Y"/>
    <s v="No"/>
    <n v="17"/>
    <n v="3"/>
    <n v="4"/>
    <n v="80"/>
    <n v="1"/>
    <n v="10"/>
    <n v="2"/>
    <n v="3"/>
    <n v="9"/>
    <n v="3"/>
    <n v="1"/>
    <n v="7"/>
    <s v="5+ yrs"/>
  </r>
  <r>
    <n v="35"/>
    <x v="1"/>
    <s v="Travel_Frequently"/>
    <n v="482"/>
    <x v="1"/>
    <n v="4"/>
    <n v="4"/>
    <s v="Life Sciences"/>
    <n v="1"/>
    <n v="1350"/>
    <n v="3"/>
    <s v="Male"/>
    <n v="87"/>
    <n v="3"/>
    <n v="2"/>
    <s v="Research Scientist"/>
    <x v="2"/>
    <s v="Single"/>
    <x v="905"/>
    <n v="2690"/>
    <n v="1"/>
    <s v="Y"/>
    <s v="Yes"/>
    <n v="11"/>
    <n v="3"/>
    <n v="2"/>
    <n v="80"/>
    <n v="0"/>
    <n v="9"/>
    <n v="3"/>
    <n v="3"/>
    <n v="9"/>
    <n v="6"/>
    <n v="1"/>
    <n v="1"/>
    <s v="5+ yrs"/>
  </r>
  <r>
    <n v="51"/>
    <x v="1"/>
    <s v="Travel_Rarely"/>
    <n v="770"/>
    <x v="2"/>
    <n v="5"/>
    <n v="3"/>
    <s v="Life Sciences"/>
    <n v="1"/>
    <n v="1352"/>
    <n v="3"/>
    <s v="Male"/>
    <n v="84"/>
    <n v="3"/>
    <n v="4"/>
    <s v="Manager"/>
    <x v="1"/>
    <s v="Divorced"/>
    <x v="906"/>
    <n v="17588"/>
    <n v="1"/>
    <s v="Y"/>
    <s v="Yes"/>
    <n v="11"/>
    <n v="3"/>
    <n v="2"/>
    <n v="80"/>
    <n v="1"/>
    <n v="33"/>
    <n v="2"/>
    <n v="3"/>
    <n v="33"/>
    <n v="9"/>
    <n v="0"/>
    <n v="10"/>
    <s v="5+ yrs"/>
  </r>
  <r>
    <n v="38"/>
    <x v="1"/>
    <s v="Travel_Rarely"/>
    <n v="1009"/>
    <x v="0"/>
    <n v="2"/>
    <n v="2"/>
    <s v="Life Sciences"/>
    <n v="1"/>
    <n v="1355"/>
    <n v="2"/>
    <s v="Female"/>
    <n v="31"/>
    <n v="3"/>
    <n v="2"/>
    <s v="Sales Executive"/>
    <x v="3"/>
    <s v="Divorced"/>
    <x v="907"/>
    <n v="19461"/>
    <n v="3"/>
    <s v="Y"/>
    <s v="No"/>
    <n v="15"/>
    <n v="3"/>
    <n v="4"/>
    <n v="80"/>
    <n v="1"/>
    <n v="11"/>
    <n v="3"/>
    <n v="3"/>
    <n v="7"/>
    <n v="7"/>
    <n v="1"/>
    <n v="7"/>
    <s v="5+ yrs"/>
  </r>
  <r>
    <n v="34"/>
    <x v="1"/>
    <s v="Travel_Rarely"/>
    <n v="507"/>
    <x v="0"/>
    <n v="15"/>
    <n v="2"/>
    <s v="Medical"/>
    <n v="1"/>
    <n v="1356"/>
    <n v="3"/>
    <s v="Female"/>
    <n v="66"/>
    <n v="3"/>
    <n v="2"/>
    <s v="Sales Executive"/>
    <x v="3"/>
    <s v="Single"/>
    <x v="908"/>
    <n v="23553"/>
    <n v="1"/>
    <s v="Y"/>
    <s v="No"/>
    <n v="12"/>
    <n v="3"/>
    <n v="4"/>
    <n v="80"/>
    <n v="0"/>
    <n v="10"/>
    <n v="6"/>
    <n v="4"/>
    <n v="10"/>
    <n v="8"/>
    <n v="9"/>
    <n v="6"/>
    <s v="5+ yrs"/>
  </r>
  <r>
    <n v="25"/>
    <x v="1"/>
    <s v="Travel_Rarely"/>
    <n v="882"/>
    <x v="1"/>
    <n v="19"/>
    <n v="1"/>
    <s v="Medical"/>
    <n v="1"/>
    <n v="1358"/>
    <n v="4"/>
    <s v="Male"/>
    <n v="67"/>
    <n v="3"/>
    <n v="1"/>
    <s v="Laboratory Technician"/>
    <x v="0"/>
    <s v="Married"/>
    <x v="909"/>
    <n v="9075"/>
    <n v="3"/>
    <s v="Y"/>
    <s v="No"/>
    <n v="11"/>
    <n v="3"/>
    <n v="3"/>
    <n v="80"/>
    <n v="3"/>
    <n v="7"/>
    <n v="6"/>
    <n v="2"/>
    <n v="3"/>
    <n v="2"/>
    <n v="1"/>
    <n v="2"/>
    <s v="3-5 yrs"/>
  </r>
  <r>
    <n v="58"/>
    <x v="0"/>
    <s v="Travel_Rarely"/>
    <n v="601"/>
    <x v="1"/>
    <n v="7"/>
    <n v="4"/>
    <s v="Medical"/>
    <n v="1"/>
    <n v="1360"/>
    <n v="3"/>
    <s v="Female"/>
    <n v="53"/>
    <n v="2"/>
    <n v="3"/>
    <s v="Manufacturing Director"/>
    <x v="3"/>
    <s v="Married"/>
    <x v="910"/>
    <n v="12023"/>
    <n v="7"/>
    <s v="Y"/>
    <s v="Yes"/>
    <n v="14"/>
    <n v="3"/>
    <n v="4"/>
    <n v="80"/>
    <n v="0"/>
    <n v="31"/>
    <n v="0"/>
    <n v="2"/>
    <n v="10"/>
    <n v="9"/>
    <n v="5"/>
    <n v="9"/>
    <s v="5+ yrs"/>
  </r>
  <r>
    <n v="40"/>
    <x v="1"/>
    <s v="Travel_Rarely"/>
    <n v="329"/>
    <x v="1"/>
    <n v="1"/>
    <n v="4"/>
    <s v="Life Sciences"/>
    <n v="1"/>
    <n v="1361"/>
    <n v="2"/>
    <s v="Male"/>
    <n v="88"/>
    <n v="3"/>
    <n v="1"/>
    <s v="Laboratory Technician"/>
    <x v="1"/>
    <s v="Married"/>
    <x v="911"/>
    <n v="6762"/>
    <n v="3"/>
    <s v="Y"/>
    <s v="No"/>
    <n v="22"/>
    <n v="4"/>
    <n v="3"/>
    <n v="80"/>
    <n v="1"/>
    <n v="7"/>
    <n v="3"/>
    <n v="3"/>
    <n v="4"/>
    <n v="2"/>
    <n v="0"/>
    <n v="3"/>
    <s v="3-5 yrs"/>
  </r>
  <r>
    <n v="36"/>
    <x v="1"/>
    <s v="Travel_Frequently"/>
    <n v="607"/>
    <x v="0"/>
    <n v="7"/>
    <n v="3"/>
    <s v="Marketing"/>
    <n v="1"/>
    <n v="1362"/>
    <n v="1"/>
    <s v="Female"/>
    <n v="83"/>
    <n v="4"/>
    <n v="2"/>
    <s v="Sales Executive"/>
    <x v="3"/>
    <s v="Married"/>
    <x v="912"/>
    <n v="2261"/>
    <n v="2"/>
    <s v="Y"/>
    <s v="No"/>
    <n v="16"/>
    <n v="3"/>
    <n v="4"/>
    <n v="80"/>
    <n v="1"/>
    <n v="17"/>
    <n v="2"/>
    <n v="2"/>
    <n v="15"/>
    <n v="7"/>
    <n v="6"/>
    <n v="13"/>
    <s v="5+ yrs"/>
  </r>
  <r>
    <n v="48"/>
    <x v="1"/>
    <s v="Travel_Rarely"/>
    <n v="855"/>
    <x v="1"/>
    <n v="4"/>
    <n v="3"/>
    <s v="Life Sciences"/>
    <n v="1"/>
    <n v="1363"/>
    <n v="4"/>
    <s v="Male"/>
    <n v="54"/>
    <n v="3"/>
    <n v="3"/>
    <s v="Manufacturing Director"/>
    <x v="0"/>
    <s v="Single"/>
    <x v="913"/>
    <n v="18706"/>
    <n v="1"/>
    <s v="Y"/>
    <s v="No"/>
    <n v="11"/>
    <n v="3"/>
    <n v="3"/>
    <n v="80"/>
    <n v="0"/>
    <n v="11"/>
    <n v="2"/>
    <n v="3"/>
    <n v="10"/>
    <n v="9"/>
    <n v="0"/>
    <n v="8"/>
    <s v="5+ yrs"/>
  </r>
  <r>
    <n v="27"/>
    <x v="1"/>
    <s v="Travel_Rarely"/>
    <n v="1291"/>
    <x v="0"/>
    <n v="11"/>
    <n v="3"/>
    <s v="Medical"/>
    <n v="1"/>
    <n v="1364"/>
    <n v="3"/>
    <s v="Female"/>
    <n v="98"/>
    <n v="4"/>
    <n v="1"/>
    <s v="Sales Representative"/>
    <x v="0"/>
    <s v="Married"/>
    <x v="914"/>
    <n v="6527"/>
    <n v="8"/>
    <s v="Y"/>
    <s v="No"/>
    <n v="14"/>
    <n v="3"/>
    <n v="2"/>
    <n v="80"/>
    <n v="1"/>
    <n v="5"/>
    <n v="4"/>
    <n v="3"/>
    <n v="1"/>
    <n v="0"/>
    <n v="0"/>
    <n v="0"/>
    <s v="0-2 yrs"/>
  </r>
  <r>
    <n v="51"/>
    <x v="1"/>
    <s v="Travel_Rarely"/>
    <n v="1405"/>
    <x v="1"/>
    <n v="11"/>
    <n v="2"/>
    <s v="Technical Degree"/>
    <n v="1"/>
    <n v="1367"/>
    <n v="4"/>
    <s v="Female"/>
    <n v="82"/>
    <n v="2"/>
    <n v="4"/>
    <s v="Manufacturing Director"/>
    <x v="1"/>
    <s v="Single"/>
    <x v="915"/>
    <n v="24439"/>
    <n v="3"/>
    <s v="Y"/>
    <s v="No"/>
    <n v="16"/>
    <n v="3"/>
    <n v="2"/>
    <n v="80"/>
    <n v="0"/>
    <n v="29"/>
    <n v="1"/>
    <n v="2"/>
    <n v="5"/>
    <n v="2"/>
    <n v="0"/>
    <n v="3"/>
    <s v="3-5 yrs"/>
  </r>
  <r>
    <n v="18"/>
    <x v="1"/>
    <s v="Non-Travel"/>
    <n v="1124"/>
    <x v="1"/>
    <n v="1"/>
    <n v="3"/>
    <s v="Life Sciences"/>
    <n v="1"/>
    <n v="1368"/>
    <n v="4"/>
    <s v="Female"/>
    <n v="97"/>
    <n v="3"/>
    <n v="1"/>
    <s v="Laboratory Technician"/>
    <x v="0"/>
    <s v="Single"/>
    <x v="916"/>
    <n v="19305"/>
    <n v="1"/>
    <s v="Y"/>
    <s v="No"/>
    <n v="15"/>
    <n v="3"/>
    <n v="3"/>
    <n v="80"/>
    <n v="0"/>
    <n v="0"/>
    <n v="5"/>
    <n v="4"/>
    <n v="0"/>
    <n v="0"/>
    <n v="0"/>
    <n v="0"/>
    <s v="0-2 yrs"/>
  </r>
  <r>
    <n v="35"/>
    <x v="1"/>
    <s v="Travel_Rarely"/>
    <n v="817"/>
    <x v="1"/>
    <n v="1"/>
    <n v="3"/>
    <s v="Medical"/>
    <n v="1"/>
    <n v="1369"/>
    <n v="4"/>
    <s v="Female"/>
    <n v="60"/>
    <n v="2"/>
    <n v="2"/>
    <s v="Laboratory Technician"/>
    <x v="0"/>
    <s v="Married"/>
    <x v="917"/>
    <n v="10846"/>
    <n v="0"/>
    <s v="Y"/>
    <s v="No"/>
    <n v="12"/>
    <n v="3"/>
    <n v="2"/>
    <n v="80"/>
    <n v="1"/>
    <n v="10"/>
    <n v="0"/>
    <n v="3"/>
    <n v="9"/>
    <n v="7"/>
    <n v="0"/>
    <n v="0"/>
    <s v="5+ yrs"/>
  </r>
  <r>
    <n v="27"/>
    <x v="1"/>
    <s v="Travel_Frequently"/>
    <n v="793"/>
    <x v="0"/>
    <n v="2"/>
    <n v="1"/>
    <s v="Life Sciences"/>
    <n v="1"/>
    <n v="1371"/>
    <n v="4"/>
    <s v="Male"/>
    <n v="43"/>
    <n v="1"/>
    <n v="2"/>
    <s v="Sales Executive"/>
    <x v="0"/>
    <s v="Single"/>
    <x v="918"/>
    <n v="20392"/>
    <n v="3"/>
    <s v="Y"/>
    <s v="No"/>
    <n v="20"/>
    <n v="4"/>
    <n v="2"/>
    <n v="80"/>
    <n v="0"/>
    <n v="8"/>
    <n v="3"/>
    <n v="3"/>
    <n v="6"/>
    <n v="2"/>
    <n v="0"/>
    <n v="0"/>
    <s v="5+ yrs"/>
  </r>
  <r>
    <n v="55"/>
    <x v="0"/>
    <s v="Travel_Rarely"/>
    <n v="267"/>
    <x v="0"/>
    <n v="13"/>
    <n v="4"/>
    <s v="Marketing"/>
    <n v="1"/>
    <n v="1372"/>
    <n v="1"/>
    <s v="Male"/>
    <n v="85"/>
    <n v="4"/>
    <n v="4"/>
    <s v="Sales Executive"/>
    <x v="2"/>
    <s v="Single"/>
    <x v="919"/>
    <n v="9277"/>
    <n v="6"/>
    <s v="Y"/>
    <s v="Yes"/>
    <n v="17"/>
    <n v="3"/>
    <n v="3"/>
    <n v="80"/>
    <n v="0"/>
    <n v="24"/>
    <n v="2"/>
    <n v="2"/>
    <n v="19"/>
    <n v="7"/>
    <n v="3"/>
    <n v="8"/>
    <s v="5+ yrs"/>
  </r>
  <r>
    <n v="56"/>
    <x v="1"/>
    <s v="Travel_Rarely"/>
    <n v="1369"/>
    <x v="1"/>
    <n v="23"/>
    <n v="3"/>
    <s v="Life Sciences"/>
    <n v="1"/>
    <n v="1373"/>
    <n v="4"/>
    <s v="Male"/>
    <n v="68"/>
    <n v="3"/>
    <n v="4"/>
    <s v="Manufacturing Director"/>
    <x v="1"/>
    <s v="Married"/>
    <x v="920"/>
    <n v="18235"/>
    <n v="4"/>
    <s v="Y"/>
    <s v="Yes"/>
    <n v="12"/>
    <n v="3"/>
    <n v="1"/>
    <n v="80"/>
    <n v="1"/>
    <n v="33"/>
    <n v="0"/>
    <n v="3"/>
    <n v="19"/>
    <n v="16"/>
    <n v="15"/>
    <n v="9"/>
    <s v="5+ yrs"/>
  </r>
  <r>
    <n v="34"/>
    <x v="1"/>
    <s v="Non-Travel"/>
    <n v="999"/>
    <x v="1"/>
    <n v="26"/>
    <n v="1"/>
    <s v="Technical Degree"/>
    <n v="1"/>
    <n v="1374"/>
    <n v="1"/>
    <s v="Female"/>
    <n v="92"/>
    <n v="2"/>
    <n v="1"/>
    <s v="Research Scientist"/>
    <x v="2"/>
    <s v="Divorced"/>
    <x v="921"/>
    <n v="15891"/>
    <n v="1"/>
    <s v="Y"/>
    <s v="No"/>
    <n v="20"/>
    <n v="4"/>
    <n v="3"/>
    <n v="80"/>
    <n v="3"/>
    <n v="5"/>
    <n v="2"/>
    <n v="3"/>
    <n v="5"/>
    <n v="4"/>
    <n v="0"/>
    <n v="0"/>
    <s v="3-5 yrs"/>
  </r>
  <r>
    <n v="40"/>
    <x v="1"/>
    <s v="Travel_Rarely"/>
    <n v="1202"/>
    <x v="1"/>
    <n v="2"/>
    <n v="1"/>
    <s v="Medical"/>
    <n v="1"/>
    <n v="1375"/>
    <n v="2"/>
    <s v="Female"/>
    <n v="89"/>
    <n v="4"/>
    <n v="2"/>
    <s v="Healthcare Representative"/>
    <x v="2"/>
    <s v="Divorced"/>
    <x v="922"/>
    <n v="13888"/>
    <n v="5"/>
    <s v="Y"/>
    <s v="No"/>
    <n v="20"/>
    <n v="4"/>
    <n v="2"/>
    <n v="80"/>
    <n v="3"/>
    <n v="15"/>
    <n v="0"/>
    <n v="3"/>
    <n v="12"/>
    <n v="11"/>
    <n v="11"/>
    <n v="8"/>
    <s v="5+ yrs"/>
  </r>
  <r>
    <n v="34"/>
    <x v="1"/>
    <s v="Travel_Rarely"/>
    <n v="285"/>
    <x v="1"/>
    <n v="29"/>
    <n v="3"/>
    <s v="Medical"/>
    <n v="1"/>
    <n v="1377"/>
    <n v="2"/>
    <s v="Male"/>
    <n v="86"/>
    <n v="3"/>
    <n v="2"/>
    <s v="Laboratory Technician"/>
    <x v="2"/>
    <s v="Married"/>
    <x v="923"/>
    <n v="17491"/>
    <n v="4"/>
    <s v="Y"/>
    <s v="No"/>
    <n v="13"/>
    <n v="3"/>
    <n v="1"/>
    <n v="80"/>
    <n v="2"/>
    <n v="10"/>
    <n v="1"/>
    <n v="3"/>
    <n v="8"/>
    <n v="7"/>
    <n v="7"/>
    <n v="7"/>
    <s v="5+ yrs"/>
  </r>
  <r>
    <n v="31"/>
    <x v="0"/>
    <s v="Travel_Frequently"/>
    <n v="703"/>
    <x v="0"/>
    <n v="2"/>
    <n v="3"/>
    <s v="Life Sciences"/>
    <n v="1"/>
    <n v="1379"/>
    <n v="3"/>
    <s v="Female"/>
    <n v="90"/>
    <n v="2"/>
    <n v="1"/>
    <s v="Sales Representative"/>
    <x v="0"/>
    <s v="Single"/>
    <x v="924"/>
    <n v="11882"/>
    <n v="7"/>
    <s v="Y"/>
    <s v="No"/>
    <n v="14"/>
    <n v="3"/>
    <n v="3"/>
    <n v="80"/>
    <n v="0"/>
    <n v="3"/>
    <n v="3"/>
    <n v="4"/>
    <n v="1"/>
    <n v="0"/>
    <n v="0"/>
    <n v="0"/>
    <s v="0-2 yrs"/>
  </r>
  <r>
    <n v="35"/>
    <x v="0"/>
    <s v="Travel_Frequently"/>
    <n v="662"/>
    <x v="0"/>
    <n v="18"/>
    <n v="4"/>
    <s v="Marketing"/>
    <n v="1"/>
    <n v="1380"/>
    <n v="4"/>
    <s v="Female"/>
    <n v="67"/>
    <n v="3"/>
    <n v="2"/>
    <s v="Sales Executive"/>
    <x v="2"/>
    <s v="Married"/>
    <x v="925"/>
    <n v="23288"/>
    <n v="0"/>
    <s v="Y"/>
    <s v="Yes"/>
    <n v="18"/>
    <n v="3"/>
    <n v="3"/>
    <n v="80"/>
    <n v="1"/>
    <n v="5"/>
    <n v="0"/>
    <n v="2"/>
    <n v="4"/>
    <n v="2"/>
    <n v="3"/>
    <n v="2"/>
    <s v="3-5 yrs"/>
  </r>
  <r>
    <n v="38"/>
    <x v="1"/>
    <s v="Travel_Frequently"/>
    <n v="693"/>
    <x v="1"/>
    <n v="7"/>
    <n v="3"/>
    <s v="Life Sciences"/>
    <n v="1"/>
    <n v="1382"/>
    <n v="4"/>
    <s v="Male"/>
    <n v="57"/>
    <n v="4"/>
    <n v="1"/>
    <s v="Research Scientist"/>
    <x v="2"/>
    <s v="Divorced"/>
    <x v="353"/>
    <n v="15748"/>
    <n v="1"/>
    <s v="Y"/>
    <s v="No"/>
    <n v="11"/>
    <n v="3"/>
    <n v="4"/>
    <n v="80"/>
    <n v="3"/>
    <n v="4"/>
    <n v="2"/>
    <n v="3"/>
    <n v="4"/>
    <n v="2"/>
    <n v="0"/>
    <n v="3"/>
    <s v="3-5 yrs"/>
  </r>
  <r>
    <n v="34"/>
    <x v="1"/>
    <s v="Travel_Rarely"/>
    <n v="404"/>
    <x v="1"/>
    <n v="2"/>
    <n v="4"/>
    <s v="Technical Degree"/>
    <n v="1"/>
    <n v="1383"/>
    <n v="3"/>
    <s v="Female"/>
    <n v="98"/>
    <n v="3"/>
    <n v="2"/>
    <s v="Healthcare Representative"/>
    <x v="0"/>
    <s v="Single"/>
    <x v="926"/>
    <n v="6163"/>
    <n v="1"/>
    <s v="Y"/>
    <s v="No"/>
    <n v="11"/>
    <n v="3"/>
    <n v="4"/>
    <n v="80"/>
    <n v="0"/>
    <n v="14"/>
    <n v="2"/>
    <n v="4"/>
    <n v="14"/>
    <n v="11"/>
    <n v="4"/>
    <n v="11"/>
    <s v="5+ yrs"/>
  </r>
  <r>
    <n v="28"/>
    <x v="1"/>
    <s v="Travel_Rarely"/>
    <n v="736"/>
    <x v="0"/>
    <n v="26"/>
    <n v="3"/>
    <s v="Life Sciences"/>
    <n v="1"/>
    <n v="1387"/>
    <n v="3"/>
    <s v="Male"/>
    <n v="48"/>
    <n v="2"/>
    <n v="2"/>
    <s v="Sales Executive"/>
    <x v="3"/>
    <s v="Married"/>
    <x v="927"/>
    <n v="24232"/>
    <n v="1"/>
    <s v="Y"/>
    <s v="No"/>
    <n v="11"/>
    <n v="3"/>
    <n v="3"/>
    <n v="80"/>
    <n v="1"/>
    <n v="5"/>
    <n v="0"/>
    <n v="3"/>
    <n v="5"/>
    <n v="3"/>
    <n v="0"/>
    <n v="4"/>
    <s v="3-5 yrs"/>
  </r>
  <r>
    <n v="31"/>
    <x v="0"/>
    <s v="Travel_Rarely"/>
    <n v="330"/>
    <x v="1"/>
    <n v="22"/>
    <n v="4"/>
    <s v="Medical"/>
    <n v="1"/>
    <n v="1389"/>
    <n v="4"/>
    <s v="Male"/>
    <n v="98"/>
    <n v="3"/>
    <n v="2"/>
    <s v="Manufacturing Director"/>
    <x v="2"/>
    <s v="Married"/>
    <x v="928"/>
    <n v="21057"/>
    <n v="1"/>
    <s v="Y"/>
    <s v="Yes"/>
    <n v="15"/>
    <n v="3"/>
    <n v="4"/>
    <n v="80"/>
    <n v="2"/>
    <n v="10"/>
    <n v="3"/>
    <n v="2"/>
    <n v="10"/>
    <n v="2"/>
    <n v="6"/>
    <n v="7"/>
    <s v="5+ yrs"/>
  </r>
  <r>
    <n v="39"/>
    <x v="1"/>
    <s v="Travel_Rarely"/>
    <n v="1498"/>
    <x v="0"/>
    <n v="21"/>
    <n v="4"/>
    <s v="Life Sciences"/>
    <n v="1"/>
    <n v="1390"/>
    <n v="1"/>
    <s v="Male"/>
    <n v="44"/>
    <n v="2"/>
    <n v="2"/>
    <s v="Sales Executive"/>
    <x v="0"/>
    <s v="Married"/>
    <x v="929"/>
    <n v="3567"/>
    <n v="3"/>
    <s v="Y"/>
    <s v="Yes"/>
    <n v="12"/>
    <n v="3"/>
    <n v="4"/>
    <n v="80"/>
    <n v="2"/>
    <n v="8"/>
    <n v="2"/>
    <n v="4"/>
    <n v="5"/>
    <n v="4"/>
    <n v="1"/>
    <n v="4"/>
    <s v="3-5 yrs"/>
  </r>
  <r>
    <n v="51"/>
    <x v="1"/>
    <s v="Travel_Frequently"/>
    <n v="541"/>
    <x v="0"/>
    <n v="2"/>
    <n v="3"/>
    <s v="Marketing"/>
    <n v="1"/>
    <n v="1391"/>
    <n v="2"/>
    <s v="Male"/>
    <n v="52"/>
    <n v="3"/>
    <n v="3"/>
    <s v="Sales Executive"/>
    <x v="1"/>
    <s v="Married"/>
    <x v="930"/>
    <n v="15395"/>
    <n v="2"/>
    <s v="Y"/>
    <s v="No"/>
    <n v="11"/>
    <n v="3"/>
    <n v="2"/>
    <n v="80"/>
    <n v="0"/>
    <n v="14"/>
    <n v="5"/>
    <n v="3"/>
    <n v="4"/>
    <n v="2"/>
    <n v="3"/>
    <n v="2"/>
    <s v="3-5 yrs"/>
  </r>
  <r>
    <n v="41"/>
    <x v="1"/>
    <s v="Travel_Frequently"/>
    <n v="1200"/>
    <x v="1"/>
    <n v="22"/>
    <n v="3"/>
    <s v="Life Sciences"/>
    <n v="1"/>
    <n v="1392"/>
    <n v="4"/>
    <s v="Female"/>
    <n v="75"/>
    <n v="3"/>
    <n v="2"/>
    <s v="Research Scientist"/>
    <x v="0"/>
    <s v="Divorced"/>
    <x v="931"/>
    <n v="13953"/>
    <n v="3"/>
    <s v="Y"/>
    <s v="Yes"/>
    <n v="14"/>
    <n v="3"/>
    <n v="1"/>
    <n v="80"/>
    <n v="2"/>
    <n v="12"/>
    <n v="4"/>
    <n v="2"/>
    <n v="6"/>
    <n v="2"/>
    <n v="3"/>
    <n v="3"/>
    <s v="5+ yrs"/>
  </r>
  <r>
    <n v="37"/>
    <x v="1"/>
    <s v="Travel_Rarely"/>
    <n v="1439"/>
    <x v="1"/>
    <n v="4"/>
    <n v="1"/>
    <s v="Life Sciences"/>
    <n v="1"/>
    <n v="1394"/>
    <n v="3"/>
    <s v="Male"/>
    <n v="54"/>
    <n v="3"/>
    <n v="1"/>
    <s v="Research Scientist"/>
    <x v="2"/>
    <s v="Married"/>
    <x v="932"/>
    <n v="5182"/>
    <n v="7"/>
    <s v="Y"/>
    <s v="Yes"/>
    <n v="15"/>
    <n v="3"/>
    <n v="4"/>
    <n v="80"/>
    <n v="0"/>
    <n v="8"/>
    <n v="2"/>
    <n v="3"/>
    <n v="6"/>
    <n v="4"/>
    <n v="1"/>
    <n v="3"/>
    <s v="5+ yrs"/>
  </r>
  <r>
    <n v="33"/>
    <x v="1"/>
    <s v="Travel_Frequently"/>
    <n v="1111"/>
    <x v="0"/>
    <n v="5"/>
    <n v="1"/>
    <s v="Life Sciences"/>
    <n v="1"/>
    <n v="1395"/>
    <n v="2"/>
    <s v="Male"/>
    <n v="61"/>
    <n v="3"/>
    <n v="2"/>
    <s v="Sales Executive"/>
    <x v="0"/>
    <s v="Married"/>
    <x v="933"/>
    <n v="19293"/>
    <n v="6"/>
    <s v="Y"/>
    <s v="No"/>
    <n v="13"/>
    <n v="3"/>
    <n v="1"/>
    <n v="80"/>
    <n v="0"/>
    <n v="8"/>
    <n v="2"/>
    <n v="4"/>
    <n v="5"/>
    <n v="4"/>
    <n v="1"/>
    <n v="2"/>
    <s v="3-5 yrs"/>
  </r>
  <r>
    <n v="32"/>
    <x v="1"/>
    <s v="Travel_Rarely"/>
    <n v="499"/>
    <x v="0"/>
    <n v="2"/>
    <n v="1"/>
    <s v="Marketing"/>
    <n v="1"/>
    <n v="1396"/>
    <n v="3"/>
    <s v="Male"/>
    <n v="36"/>
    <n v="3"/>
    <n v="2"/>
    <s v="Sales Executive"/>
    <x v="1"/>
    <s v="Married"/>
    <x v="934"/>
    <n v="20497"/>
    <n v="0"/>
    <s v="Y"/>
    <s v="Yes"/>
    <n v="13"/>
    <n v="3"/>
    <n v="1"/>
    <n v="80"/>
    <n v="3"/>
    <n v="4"/>
    <n v="3"/>
    <n v="2"/>
    <n v="3"/>
    <n v="2"/>
    <n v="1"/>
    <n v="2"/>
    <s v="3-5 yrs"/>
  </r>
  <r>
    <n v="39"/>
    <x v="1"/>
    <s v="Non-Travel"/>
    <n v="1485"/>
    <x v="1"/>
    <n v="25"/>
    <n v="2"/>
    <s v="Life Sciences"/>
    <n v="1"/>
    <n v="1397"/>
    <n v="3"/>
    <s v="Male"/>
    <n v="71"/>
    <n v="3"/>
    <n v="3"/>
    <s v="Healthcare Representative"/>
    <x v="2"/>
    <s v="Married"/>
    <x v="935"/>
    <n v="3449"/>
    <n v="3"/>
    <s v="Y"/>
    <s v="No"/>
    <n v="21"/>
    <n v="4"/>
    <n v="2"/>
    <n v="80"/>
    <n v="1"/>
    <n v="13"/>
    <n v="2"/>
    <n v="3"/>
    <n v="6"/>
    <n v="4"/>
    <n v="0"/>
    <n v="5"/>
    <s v="5+ yrs"/>
  </r>
  <r>
    <n v="25"/>
    <x v="1"/>
    <s v="Travel_Rarely"/>
    <n v="1372"/>
    <x v="0"/>
    <n v="18"/>
    <n v="1"/>
    <s v="Life Sciences"/>
    <n v="1"/>
    <n v="1399"/>
    <n v="1"/>
    <s v="Male"/>
    <n v="93"/>
    <n v="4"/>
    <n v="2"/>
    <s v="Sales Executive"/>
    <x v="2"/>
    <s v="Married"/>
    <x v="936"/>
    <n v="12477"/>
    <n v="2"/>
    <s v="Y"/>
    <s v="No"/>
    <n v="11"/>
    <n v="3"/>
    <n v="2"/>
    <n v="80"/>
    <n v="0"/>
    <n v="6"/>
    <n v="3"/>
    <n v="2"/>
    <n v="3"/>
    <n v="2"/>
    <n v="1"/>
    <n v="2"/>
    <s v="3-5 yrs"/>
  </r>
  <r>
    <n v="52"/>
    <x v="1"/>
    <s v="Travel_Frequently"/>
    <n v="322"/>
    <x v="1"/>
    <n v="28"/>
    <n v="2"/>
    <s v="Medical"/>
    <n v="1"/>
    <n v="1401"/>
    <n v="4"/>
    <s v="Female"/>
    <n v="59"/>
    <n v="4"/>
    <n v="4"/>
    <s v="Manufacturing Director"/>
    <x v="2"/>
    <s v="Married"/>
    <x v="937"/>
    <n v="9731"/>
    <n v="2"/>
    <s v="Y"/>
    <s v="Yes"/>
    <n v="11"/>
    <n v="3"/>
    <n v="2"/>
    <n v="80"/>
    <n v="1"/>
    <n v="24"/>
    <n v="3"/>
    <n v="2"/>
    <n v="5"/>
    <n v="3"/>
    <n v="0"/>
    <n v="2"/>
    <s v="3-5 yrs"/>
  </r>
  <r>
    <n v="43"/>
    <x v="1"/>
    <s v="Travel_Rarely"/>
    <n v="930"/>
    <x v="1"/>
    <n v="6"/>
    <n v="3"/>
    <s v="Medical"/>
    <n v="1"/>
    <n v="1402"/>
    <n v="1"/>
    <s v="Female"/>
    <n v="73"/>
    <n v="2"/>
    <n v="2"/>
    <s v="Research Scientist"/>
    <x v="2"/>
    <s v="Single"/>
    <x v="938"/>
    <n v="20003"/>
    <n v="1"/>
    <s v="Y"/>
    <s v="Yes"/>
    <n v="14"/>
    <n v="3"/>
    <n v="1"/>
    <n v="80"/>
    <n v="0"/>
    <n v="20"/>
    <n v="3"/>
    <n v="1"/>
    <n v="20"/>
    <n v="7"/>
    <n v="1"/>
    <n v="8"/>
    <s v="5+ yrs"/>
  </r>
  <r>
    <n v="27"/>
    <x v="1"/>
    <s v="Travel_Rarely"/>
    <n v="205"/>
    <x v="0"/>
    <n v="10"/>
    <n v="3"/>
    <s v="Marketing"/>
    <n v="1"/>
    <n v="1403"/>
    <n v="4"/>
    <s v="Female"/>
    <n v="98"/>
    <n v="2"/>
    <n v="2"/>
    <s v="Sales Executive"/>
    <x v="0"/>
    <s v="Married"/>
    <x v="939"/>
    <n v="7100"/>
    <n v="1"/>
    <s v="Y"/>
    <s v="Yes"/>
    <n v="11"/>
    <n v="3"/>
    <n v="4"/>
    <n v="80"/>
    <n v="0"/>
    <n v="6"/>
    <n v="3"/>
    <n v="3"/>
    <n v="6"/>
    <n v="2"/>
    <n v="4"/>
    <n v="4"/>
    <s v="5+ yrs"/>
  </r>
  <r>
    <n v="27"/>
    <x v="0"/>
    <s v="Travel_Rarely"/>
    <n v="135"/>
    <x v="1"/>
    <n v="17"/>
    <n v="4"/>
    <s v="Life Sciences"/>
    <n v="1"/>
    <n v="1405"/>
    <n v="4"/>
    <s v="Female"/>
    <n v="51"/>
    <n v="3"/>
    <n v="1"/>
    <s v="Research Scientist"/>
    <x v="2"/>
    <s v="Single"/>
    <x v="940"/>
    <n v="25681"/>
    <n v="1"/>
    <s v="Y"/>
    <s v="Yes"/>
    <n v="13"/>
    <n v="3"/>
    <n v="4"/>
    <n v="80"/>
    <n v="0"/>
    <n v="8"/>
    <n v="2"/>
    <n v="3"/>
    <n v="8"/>
    <n v="2"/>
    <n v="7"/>
    <n v="7"/>
    <s v="5+ yrs"/>
  </r>
  <r>
    <n v="26"/>
    <x v="1"/>
    <s v="Travel_Rarely"/>
    <n v="683"/>
    <x v="1"/>
    <n v="2"/>
    <n v="1"/>
    <s v="Medical"/>
    <n v="1"/>
    <n v="1407"/>
    <n v="1"/>
    <s v="Male"/>
    <n v="36"/>
    <n v="2"/>
    <n v="1"/>
    <s v="Research Scientist"/>
    <x v="0"/>
    <s v="Single"/>
    <x v="885"/>
    <n v="4050"/>
    <n v="0"/>
    <s v="Y"/>
    <s v="No"/>
    <n v="12"/>
    <n v="3"/>
    <n v="4"/>
    <n v="80"/>
    <n v="0"/>
    <n v="5"/>
    <n v="2"/>
    <n v="3"/>
    <n v="4"/>
    <n v="3"/>
    <n v="1"/>
    <n v="1"/>
    <s v="3-5 yrs"/>
  </r>
  <r>
    <n v="42"/>
    <x v="1"/>
    <s v="Travel_Rarely"/>
    <n v="1147"/>
    <x v="2"/>
    <n v="10"/>
    <n v="3"/>
    <s v="Human Resources"/>
    <n v="1"/>
    <n v="1408"/>
    <n v="3"/>
    <s v="Female"/>
    <n v="31"/>
    <n v="3"/>
    <n v="4"/>
    <s v="Manager"/>
    <x v="3"/>
    <s v="Married"/>
    <x v="941"/>
    <n v="16616"/>
    <n v="0"/>
    <s v="Y"/>
    <s v="No"/>
    <n v="14"/>
    <n v="3"/>
    <n v="3"/>
    <n v="80"/>
    <n v="1"/>
    <n v="21"/>
    <n v="5"/>
    <n v="3"/>
    <n v="20"/>
    <n v="7"/>
    <n v="0"/>
    <n v="9"/>
    <s v="5+ yrs"/>
  </r>
  <r>
    <n v="52"/>
    <x v="1"/>
    <s v="Travel_Rarely"/>
    <n v="258"/>
    <x v="1"/>
    <n v="8"/>
    <n v="4"/>
    <s v="Other"/>
    <n v="1"/>
    <n v="1409"/>
    <n v="3"/>
    <s v="Female"/>
    <n v="54"/>
    <n v="3"/>
    <n v="1"/>
    <s v="Laboratory Technician"/>
    <x v="3"/>
    <s v="Married"/>
    <x v="942"/>
    <n v="17363"/>
    <n v="9"/>
    <s v="Y"/>
    <s v="No"/>
    <n v="13"/>
    <n v="3"/>
    <n v="3"/>
    <n v="80"/>
    <n v="0"/>
    <n v="12"/>
    <n v="2"/>
    <n v="1"/>
    <n v="5"/>
    <n v="4"/>
    <n v="0"/>
    <n v="4"/>
    <s v="3-5 yrs"/>
  </r>
  <r>
    <n v="37"/>
    <x v="1"/>
    <s v="Travel_Rarely"/>
    <n v="1462"/>
    <x v="1"/>
    <n v="11"/>
    <n v="3"/>
    <s v="Medical"/>
    <n v="1"/>
    <n v="1411"/>
    <n v="1"/>
    <s v="Female"/>
    <n v="94"/>
    <n v="3"/>
    <n v="1"/>
    <s v="Laboratory Technician"/>
    <x v="2"/>
    <s v="Single"/>
    <x v="943"/>
    <n v="19106"/>
    <n v="4"/>
    <s v="Y"/>
    <s v="No"/>
    <n v="18"/>
    <n v="3"/>
    <n v="1"/>
    <n v="80"/>
    <n v="0"/>
    <n v="8"/>
    <n v="6"/>
    <n v="3"/>
    <n v="3"/>
    <n v="2"/>
    <n v="0"/>
    <n v="2"/>
    <s v="3-5 yrs"/>
  </r>
  <r>
    <n v="35"/>
    <x v="1"/>
    <s v="Travel_Frequently"/>
    <n v="200"/>
    <x v="1"/>
    <n v="18"/>
    <n v="2"/>
    <s v="Life Sciences"/>
    <n v="1"/>
    <n v="1412"/>
    <n v="3"/>
    <s v="Male"/>
    <n v="60"/>
    <n v="3"/>
    <n v="3"/>
    <s v="Manufacturing Director"/>
    <x v="0"/>
    <s v="Single"/>
    <x v="944"/>
    <n v="19944"/>
    <n v="2"/>
    <s v="Y"/>
    <s v="No"/>
    <n v="11"/>
    <n v="3"/>
    <n v="3"/>
    <n v="80"/>
    <n v="0"/>
    <n v="10"/>
    <n v="2"/>
    <n v="3"/>
    <n v="2"/>
    <n v="2"/>
    <n v="2"/>
    <n v="2"/>
    <s v="0-2 yrs"/>
  </r>
  <r>
    <n v="25"/>
    <x v="1"/>
    <s v="Travel_Rarely"/>
    <n v="949"/>
    <x v="1"/>
    <n v="1"/>
    <n v="3"/>
    <s v="Technical Degree"/>
    <n v="1"/>
    <n v="1415"/>
    <n v="1"/>
    <s v="Male"/>
    <n v="81"/>
    <n v="3"/>
    <n v="1"/>
    <s v="Laboratory Technician"/>
    <x v="0"/>
    <s v="Married"/>
    <x v="945"/>
    <n v="4910"/>
    <n v="4"/>
    <s v="Y"/>
    <s v="No"/>
    <n v="11"/>
    <n v="3"/>
    <n v="2"/>
    <n v="80"/>
    <n v="1"/>
    <n v="7"/>
    <n v="2"/>
    <n v="2"/>
    <n v="3"/>
    <n v="2"/>
    <n v="0"/>
    <n v="2"/>
    <s v="3-5 yrs"/>
  </r>
  <r>
    <n v="26"/>
    <x v="1"/>
    <s v="Travel_Rarely"/>
    <n v="652"/>
    <x v="1"/>
    <n v="7"/>
    <n v="3"/>
    <s v="Other"/>
    <n v="1"/>
    <n v="1417"/>
    <n v="3"/>
    <s v="Male"/>
    <n v="100"/>
    <n v="4"/>
    <n v="1"/>
    <s v="Laboratory Technician"/>
    <x v="3"/>
    <s v="Single"/>
    <x v="946"/>
    <n v="23577"/>
    <n v="0"/>
    <s v="Y"/>
    <s v="No"/>
    <n v="12"/>
    <n v="3"/>
    <n v="4"/>
    <n v="80"/>
    <n v="0"/>
    <n v="8"/>
    <n v="2"/>
    <n v="3"/>
    <n v="7"/>
    <n v="7"/>
    <n v="0"/>
    <n v="7"/>
    <s v="5+ yrs"/>
  </r>
  <r>
    <n v="29"/>
    <x v="1"/>
    <s v="Travel_Rarely"/>
    <n v="332"/>
    <x v="2"/>
    <n v="17"/>
    <n v="3"/>
    <s v="Other"/>
    <n v="1"/>
    <n v="1419"/>
    <n v="2"/>
    <s v="Male"/>
    <n v="51"/>
    <n v="2"/>
    <n v="3"/>
    <s v="Human Resources"/>
    <x v="3"/>
    <s v="Single"/>
    <x v="947"/>
    <n v="9769"/>
    <n v="1"/>
    <s v="Y"/>
    <s v="No"/>
    <n v="13"/>
    <n v="3"/>
    <n v="1"/>
    <n v="80"/>
    <n v="0"/>
    <n v="10"/>
    <n v="3"/>
    <n v="2"/>
    <n v="10"/>
    <n v="9"/>
    <n v="0"/>
    <n v="9"/>
    <s v="5+ yrs"/>
  </r>
  <r>
    <n v="49"/>
    <x v="0"/>
    <s v="Travel_Frequently"/>
    <n v="1475"/>
    <x v="1"/>
    <n v="28"/>
    <n v="2"/>
    <s v="Life Sciences"/>
    <n v="1"/>
    <n v="1420"/>
    <n v="1"/>
    <s v="Male"/>
    <n v="97"/>
    <n v="2"/>
    <n v="2"/>
    <s v="Laboratory Technician"/>
    <x v="3"/>
    <s v="Single"/>
    <x v="948"/>
    <n v="22710"/>
    <n v="3"/>
    <s v="Y"/>
    <s v="No"/>
    <n v="20"/>
    <n v="4"/>
    <n v="1"/>
    <n v="80"/>
    <n v="0"/>
    <n v="20"/>
    <n v="2"/>
    <n v="3"/>
    <n v="4"/>
    <n v="3"/>
    <n v="1"/>
    <n v="3"/>
    <s v="3-5 yrs"/>
  </r>
  <r>
    <n v="29"/>
    <x v="0"/>
    <s v="Travel_Frequently"/>
    <n v="337"/>
    <x v="1"/>
    <n v="14"/>
    <n v="1"/>
    <s v="Other"/>
    <n v="1"/>
    <n v="1421"/>
    <n v="3"/>
    <s v="Female"/>
    <n v="84"/>
    <n v="3"/>
    <n v="3"/>
    <s v="Healthcare Representative"/>
    <x v="0"/>
    <s v="Single"/>
    <x v="949"/>
    <n v="22930"/>
    <n v="0"/>
    <s v="Y"/>
    <s v="Yes"/>
    <n v="12"/>
    <n v="3"/>
    <n v="1"/>
    <n v="80"/>
    <n v="0"/>
    <n v="9"/>
    <n v="1"/>
    <n v="3"/>
    <n v="8"/>
    <n v="7"/>
    <n v="7"/>
    <n v="7"/>
    <s v="5+ yrs"/>
  </r>
  <r>
    <n v="54"/>
    <x v="1"/>
    <s v="Travel_Rarely"/>
    <n v="971"/>
    <x v="1"/>
    <n v="1"/>
    <n v="3"/>
    <s v="Medical"/>
    <n v="1"/>
    <n v="1422"/>
    <n v="4"/>
    <s v="Female"/>
    <n v="54"/>
    <n v="3"/>
    <n v="4"/>
    <s v="Research Director"/>
    <x v="0"/>
    <s v="Single"/>
    <x v="109"/>
    <n v="5652"/>
    <n v="6"/>
    <s v="Y"/>
    <s v="No"/>
    <n v="19"/>
    <n v="3"/>
    <n v="4"/>
    <n v="80"/>
    <n v="0"/>
    <n v="29"/>
    <n v="3"/>
    <n v="2"/>
    <n v="20"/>
    <n v="7"/>
    <n v="12"/>
    <n v="7"/>
    <s v="5+ yrs"/>
  </r>
  <r>
    <n v="58"/>
    <x v="1"/>
    <s v="Travel_Rarely"/>
    <n v="1055"/>
    <x v="1"/>
    <n v="1"/>
    <n v="3"/>
    <s v="Medical"/>
    <n v="1"/>
    <n v="1423"/>
    <n v="4"/>
    <s v="Female"/>
    <n v="76"/>
    <n v="3"/>
    <n v="5"/>
    <s v="Research Director"/>
    <x v="3"/>
    <s v="Married"/>
    <x v="950"/>
    <n v="22456"/>
    <n v="3"/>
    <s v="Y"/>
    <s v="Yes"/>
    <n v="21"/>
    <n v="4"/>
    <n v="3"/>
    <n v="80"/>
    <n v="1"/>
    <n v="32"/>
    <n v="3"/>
    <n v="3"/>
    <n v="9"/>
    <n v="8"/>
    <n v="1"/>
    <n v="5"/>
    <s v="5+ yrs"/>
  </r>
  <r>
    <n v="55"/>
    <x v="1"/>
    <s v="Travel_Rarely"/>
    <n v="1136"/>
    <x v="1"/>
    <n v="1"/>
    <n v="4"/>
    <s v="Medical"/>
    <n v="1"/>
    <n v="1424"/>
    <n v="2"/>
    <s v="Male"/>
    <n v="81"/>
    <n v="4"/>
    <n v="4"/>
    <s v="Research Director"/>
    <x v="0"/>
    <s v="Divorced"/>
    <x v="951"/>
    <n v="12414"/>
    <n v="2"/>
    <s v="Y"/>
    <s v="No"/>
    <n v="13"/>
    <n v="3"/>
    <n v="4"/>
    <n v="80"/>
    <n v="2"/>
    <n v="31"/>
    <n v="4"/>
    <n v="4"/>
    <n v="7"/>
    <n v="7"/>
    <n v="0"/>
    <n v="0"/>
    <s v="5+ yrs"/>
  </r>
  <r>
    <n v="36"/>
    <x v="1"/>
    <s v="Travel_Rarely"/>
    <n v="1174"/>
    <x v="0"/>
    <n v="3"/>
    <n v="4"/>
    <s v="Marketing"/>
    <n v="1"/>
    <n v="1425"/>
    <n v="1"/>
    <s v="Female"/>
    <n v="99"/>
    <n v="3"/>
    <n v="2"/>
    <s v="Sales Executive"/>
    <x v="1"/>
    <s v="Single"/>
    <x v="952"/>
    <n v="20763"/>
    <n v="3"/>
    <s v="Y"/>
    <s v="Yes"/>
    <n v="16"/>
    <n v="3"/>
    <n v="4"/>
    <n v="80"/>
    <n v="0"/>
    <n v="15"/>
    <n v="3"/>
    <n v="3"/>
    <n v="5"/>
    <n v="4"/>
    <n v="0"/>
    <n v="1"/>
    <s v="3-5 yrs"/>
  </r>
  <r>
    <n v="31"/>
    <x v="0"/>
    <s v="Travel_Frequently"/>
    <n v="667"/>
    <x v="0"/>
    <n v="1"/>
    <n v="4"/>
    <s v="Life Sciences"/>
    <n v="1"/>
    <n v="1427"/>
    <n v="2"/>
    <s v="Female"/>
    <n v="50"/>
    <n v="1"/>
    <n v="1"/>
    <s v="Sales Representative"/>
    <x v="2"/>
    <s v="Single"/>
    <x v="953"/>
    <n v="16154"/>
    <n v="1"/>
    <s v="Y"/>
    <s v="No"/>
    <n v="12"/>
    <n v="3"/>
    <n v="2"/>
    <n v="80"/>
    <n v="0"/>
    <n v="1"/>
    <n v="3"/>
    <n v="3"/>
    <n v="1"/>
    <n v="0"/>
    <n v="0"/>
    <n v="0"/>
    <s v="0-2 yrs"/>
  </r>
  <r>
    <n v="30"/>
    <x v="1"/>
    <s v="Travel_Rarely"/>
    <n v="855"/>
    <x v="0"/>
    <n v="7"/>
    <n v="4"/>
    <s v="Marketing"/>
    <n v="1"/>
    <n v="1428"/>
    <n v="4"/>
    <s v="Female"/>
    <n v="73"/>
    <n v="3"/>
    <n v="2"/>
    <s v="Sales Executive"/>
    <x v="3"/>
    <s v="Divorced"/>
    <x v="586"/>
    <n v="12761"/>
    <n v="7"/>
    <s v="Y"/>
    <s v="No"/>
    <n v="14"/>
    <n v="3"/>
    <n v="2"/>
    <n v="80"/>
    <n v="2"/>
    <n v="8"/>
    <n v="3"/>
    <n v="3"/>
    <n v="3"/>
    <n v="2"/>
    <n v="0"/>
    <n v="2"/>
    <s v="3-5 yrs"/>
  </r>
  <r>
    <n v="31"/>
    <x v="1"/>
    <s v="Travel_Rarely"/>
    <n v="182"/>
    <x v="1"/>
    <n v="8"/>
    <n v="5"/>
    <s v="Life Sciences"/>
    <n v="1"/>
    <n v="1430"/>
    <n v="1"/>
    <s v="Female"/>
    <n v="93"/>
    <n v="3"/>
    <n v="4"/>
    <s v="Research Director"/>
    <x v="1"/>
    <s v="Single"/>
    <x v="954"/>
    <n v="8847"/>
    <n v="3"/>
    <s v="Y"/>
    <s v="No"/>
    <n v="11"/>
    <n v="3"/>
    <n v="3"/>
    <n v="80"/>
    <n v="0"/>
    <n v="9"/>
    <n v="3"/>
    <n v="4"/>
    <n v="3"/>
    <n v="2"/>
    <n v="1"/>
    <n v="0"/>
    <s v="3-5 yrs"/>
  </r>
  <r>
    <n v="34"/>
    <x v="1"/>
    <s v="Travel_Frequently"/>
    <n v="560"/>
    <x v="1"/>
    <n v="1"/>
    <n v="4"/>
    <s v="Other"/>
    <n v="1"/>
    <n v="1431"/>
    <n v="4"/>
    <s v="Male"/>
    <n v="91"/>
    <n v="3"/>
    <n v="1"/>
    <s v="Research Scientist"/>
    <x v="3"/>
    <s v="Divorced"/>
    <x v="932"/>
    <n v="20284"/>
    <n v="5"/>
    <s v="Y"/>
    <s v="No"/>
    <n v="14"/>
    <n v="3"/>
    <n v="3"/>
    <n v="80"/>
    <n v="2"/>
    <n v="10"/>
    <n v="2"/>
    <n v="3"/>
    <n v="4"/>
    <n v="3"/>
    <n v="1"/>
    <n v="3"/>
    <s v="3-5 yrs"/>
  </r>
  <r>
    <n v="31"/>
    <x v="0"/>
    <s v="Travel_Rarely"/>
    <n v="202"/>
    <x v="1"/>
    <n v="8"/>
    <n v="3"/>
    <s v="Life Sciences"/>
    <n v="1"/>
    <n v="1433"/>
    <n v="1"/>
    <s v="Female"/>
    <n v="34"/>
    <n v="2"/>
    <n v="1"/>
    <s v="Research Scientist"/>
    <x v="1"/>
    <s v="Single"/>
    <x v="955"/>
    <n v="22262"/>
    <n v="1"/>
    <s v="Y"/>
    <s v="No"/>
    <n v="12"/>
    <n v="3"/>
    <n v="3"/>
    <n v="80"/>
    <n v="0"/>
    <n v="1"/>
    <n v="3"/>
    <n v="4"/>
    <n v="1"/>
    <n v="0"/>
    <n v="0"/>
    <n v="0"/>
    <s v="0-2 yrs"/>
  </r>
  <r>
    <n v="27"/>
    <x v="1"/>
    <s v="Travel_Rarely"/>
    <n v="1377"/>
    <x v="1"/>
    <n v="11"/>
    <n v="1"/>
    <s v="Life Sciences"/>
    <n v="1"/>
    <n v="1434"/>
    <n v="2"/>
    <s v="Male"/>
    <n v="91"/>
    <n v="3"/>
    <n v="1"/>
    <s v="Laboratory Technician"/>
    <x v="3"/>
    <s v="Married"/>
    <x v="956"/>
    <n v="7679"/>
    <n v="0"/>
    <s v="Y"/>
    <s v="No"/>
    <n v="14"/>
    <n v="3"/>
    <n v="2"/>
    <n v="80"/>
    <n v="0"/>
    <n v="6"/>
    <n v="3"/>
    <n v="4"/>
    <n v="5"/>
    <n v="0"/>
    <n v="1"/>
    <n v="4"/>
    <s v="3-5 yrs"/>
  </r>
  <r>
    <n v="36"/>
    <x v="1"/>
    <s v="Travel_Rarely"/>
    <n v="172"/>
    <x v="1"/>
    <n v="4"/>
    <n v="4"/>
    <s v="Life Sciences"/>
    <n v="1"/>
    <n v="1435"/>
    <n v="1"/>
    <s v="Male"/>
    <n v="37"/>
    <n v="2"/>
    <n v="2"/>
    <s v="Laboratory Technician"/>
    <x v="0"/>
    <s v="Single"/>
    <x v="957"/>
    <n v="22604"/>
    <n v="1"/>
    <s v="Y"/>
    <s v="No"/>
    <n v="16"/>
    <n v="3"/>
    <n v="3"/>
    <n v="80"/>
    <n v="0"/>
    <n v="10"/>
    <n v="2"/>
    <n v="2"/>
    <n v="10"/>
    <n v="4"/>
    <n v="1"/>
    <n v="8"/>
    <s v="5+ yrs"/>
  </r>
  <r>
    <n v="36"/>
    <x v="1"/>
    <s v="Travel_Rarely"/>
    <n v="329"/>
    <x v="0"/>
    <n v="16"/>
    <n v="4"/>
    <s v="Marketing"/>
    <n v="1"/>
    <n v="1436"/>
    <n v="3"/>
    <s v="Female"/>
    <n v="98"/>
    <n v="2"/>
    <n v="2"/>
    <s v="Sales Executive"/>
    <x v="3"/>
    <s v="Married"/>
    <x v="958"/>
    <n v="13494"/>
    <n v="4"/>
    <s v="Y"/>
    <s v="No"/>
    <n v="13"/>
    <n v="3"/>
    <n v="1"/>
    <n v="80"/>
    <n v="2"/>
    <n v="11"/>
    <n v="3"/>
    <n v="2"/>
    <n v="3"/>
    <n v="2"/>
    <n v="0"/>
    <n v="2"/>
    <s v="3-5 yrs"/>
  </r>
  <r>
    <n v="47"/>
    <x v="1"/>
    <s v="Travel_Rarely"/>
    <n v="465"/>
    <x v="1"/>
    <n v="1"/>
    <n v="3"/>
    <s v="Technical Degree"/>
    <n v="1"/>
    <n v="1438"/>
    <n v="1"/>
    <s v="Male"/>
    <n v="74"/>
    <n v="3"/>
    <n v="1"/>
    <s v="Research Scientist"/>
    <x v="0"/>
    <s v="Married"/>
    <x v="959"/>
    <n v="10205"/>
    <n v="7"/>
    <s v="Y"/>
    <s v="No"/>
    <n v="12"/>
    <n v="3"/>
    <n v="3"/>
    <n v="80"/>
    <n v="1"/>
    <n v="17"/>
    <n v="2"/>
    <n v="2"/>
    <n v="6"/>
    <n v="5"/>
    <n v="1"/>
    <n v="2"/>
    <s v="5+ yrs"/>
  </r>
  <r>
    <n v="25"/>
    <x v="0"/>
    <s v="Travel_Rarely"/>
    <n v="383"/>
    <x v="0"/>
    <n v="9"/>
    <n v="2"/>
    <s v="Life Sciences"/>
    <n v="1"/>
    <n v="1439"/>
    <n v="1"/>
    <s v="Male"/>
    <n v="68"/>
    <n v="2"/>
    <n v="1"/>
    <s v="Sales Representative"/>
    <x v="3"/>
    <s v="Married"/>
    <x v="960"/>
    <n v="15182"/>
    <n v="3"/>
    <s v="Y"/>
    <s v="No"/>
    <n v="12"/>
    <n v="3"/>
    <n v="1"/>
    <n v="80"/>
    <n v="0"/>
    <n v="6"/>
    <n v="2"/>
    <n v="3"/>
    <n v="3"/>
    <n v="2"/>
    <n v="2"/>
    <n v="2"/>
    <s v="3-5 yrs"/>
  </r>
  <r>
    <n v="37"/>
    <x v="1"/>
    <s v="Non-Travel"/>
    <n v="1413"/>
    <x v="1"/>
    <n v="5"/>
    <n v="2"/>
    <s v="Technical Degree"/>
    <n v="1"/>
    <n v="1440"/>
    <n v="3"/>
    <s v="Male"/>
    <n v="84"/>
    <n v="4"/>
    <n v="1"/>
    <s v="Laboratory Technician"/>
    <x v="2"/>
    <s v="Single"/>
    <x v="961"/>
    <n v="25470"/>
    <n v="0"/>
    <s v="Y"/>
    <s v="No"/>
    <n v="14"/>
    <n v="3"/>
    <n v="1"/>
    <n v="80"/>
    <n v="0"/>
    <n v="7"/>
    <n v="2"/>
    <n v="1"/>
    <n v="6"/>
    <n v="5"/>
    <n v="1"/>
    <n v="3"/>
    <s v="5+ yrs"/>
  </r>
  <r>
    <n v="56"/>
    <x v="1"/>
    <s v="Travel_Rarely"/>
    <n v="1255"/>
    <x v="1"/>
    <n v="1"/>
    <n v="2"/>
    <s v="Life Sciences"/>
    <n v="1"/>
    <n v="1441"/>
    <n v="1"/>
    <s v="Female"/>
    <n v="90"/>
    <n v="3"/>
    <n v="1"/>
    <s v="Research Scientist"/>
    <x v="3"/>
    <s v="Married"/>
    <x v="962"/>
    <n v="10494"/>
    <n v="2"/>
    <s v="Y"/>
    <s v="No"/>
    <n v="22"/>
    <n v="4"/>
    <n v="4"/>
    <n v="80"/>
    <n v="1"/>
    <n v="5"/>
    <n v="3"/>
    <n v="4"/>
    <n v="3"/>
    <n v="2"/>
    <n v="1"/>
    <n v="0"/>
    <s v="3-5 yrs"/>
  </r>
  <r>
    <n v="47"/>
    <x v="1"/>
    <s v="Travel_Rarely"/>
    <n v="359"/>
    <x v="1"/>
    <n v="2"/>
    <n v="4"/>
    <s v="Medical"/>
    <n v="1"/>
    <n v="1443"/>
    <n v="1"/>
    <s v="Female"/>
    <n v="82"/>
    <n v="3"/>
    <n v="4"/>
    <s v="Research Director"/>
    <x v="2"/>
    <s v="Married"/>
    <x v="963"/>
    <n v="26703"/>
    <n v="3"/>
    <s v="Y"/>
    <s v="No"/>
    <n v="19"/>
    <n v="3"/>
    <n v="2"/>
    <n v="80"/>
    <n v="2"/>
    <n v="26"/>
    <n v="2"/>
    <n v="4"/>
    <n v="20"/>
    <n v="17"/>
    <n v="5"/>
    <n v="6"/>
    <s v="5+ yrs"/>
  </r>
  <r>
    <n v="24"/>
    <x v="1"/>
    <s v="Travel_Rarely"/>
    <n v="1476"/>
    <x v="0"/>
    <n v="4"/>
    <n v="1"/>
    <s v="Medical"/>
    <n v="1"/>
    <n v="1445"/>
    <n v="4"/>
    <s v="Female"/>
    <n v="42"/>
    <n v="3"/>
    <n v="2"/>
    <s v="Sales Executive"/>
    <x v="2"/>
    <s v="Married"/>
    <x v="964"/>
    <n v="15211"/>
    <n v="1"/>
    <s v="Y"/>
    <s v="Yes"/>
    <n v="12"/>
    <n v="3"/>
    <n v="3"/>
    <n v="80"/>
    <n v="2"/>
    <n v="5"/>
    <n v="3"/>
    <n v="3"/>
    <n v="5"/>
    <n v="4"/>
    <n v="0"/>
    <n v="3"/>
    <s v="3-5 yrs"/>
  </r>
  <r>
    <n v="32"/>
    <x v="1"/>
    <s v="Travel_Rarely"/>
    <n v="601"/>
    <x v="0"/>
    <n v="7"/>
    <n v="5"/>
    <s v="Marketing"/>
    <n v="1"/>
    <n v="1446"/>
    <n v="4"/>
    <s v="Male"/>
    <n v="97"/>
    <n v="3"/>
    <n v="2"/>
    <s v="Sales Executive"/>
    <x v="0"/>
    <s v="Married"/>
    <x v="965"/>
    <n v="23343"/>
    <n v="4"/>
    <s v="Y"/>
    <s v="No"/>
    <n v="12"/>
    <n v="3"/>
    <n v="3"/>
    <n v="80"/>
    <n v="1"/>
    <n v="7"/>
    <n v="3"/>
    <n v="2"/>
    <n v="4"/>
    <n v="3"/>
    <n v="0"/>
    <n v="3"/>
    <s v="3-5 yrs"/>
  </r>
  <r>
    <n v="34"/>
    <x v="1"/>
    <s v="Travel_Rarely"/>
    <n v="401"/>
    <x v="1"/>
    <n v="1"/>
    <n v="3"/>
    <s v="Life Sciences"/>
    <n v="1"/>
    <n v="1447"/>
    <n v="4"/>
    <s v="Female"/>
    <n v="86"/>
    <n v="2"/>
    <n v="1"/>
    <s v="Laboratory Technician"/>
    <x v="1"/>
    <s v="Married"/>
    <x v="635"/>
    <n v="3708"/>
    <n v="5"/>
    <s v="Y"/>
    <s v="No"/>
    <n v="17"/>
    <n v="3"/>
    <n v="1"/>
    <n v="80"/>
    <n v="1"/>
    <n v="7"/>
    <n v="2"/>
    <n v="2"/>
    <n v="5"/>
    <n v="4"/>
    <n v="0"/>
    <n v="2"/>
    <s v="3-5 yrs"/>
  </r>
  <r>
    <n v="41"/>
    <x v="1"/>
    <s v="Travel_Rarely"/>
    <n v="1283"/>
    <x v="1"/>
    <n v="5"/>
    <n v="5"/>
    <s v="Medical"/>
    <n v="1"/>
    <n v="1448"/>
    <n v="2"/>
    <s v="Male"/>
    <n v="90"/>
    <n v="4"/>
    <n v="1"/>
    <s v="Research Scientist"/>
    <x v="2"/>
    <s v="Married"/>
    <x v="459"/>
    <n v="5561"/>
    <n v="2"/>
    <s v="Y"/>
    <s v="Yes"/>
    <n v="12"/>
    <n v="3"/>
    <n v="1"/>
    <n v="80"/>
    <n v="0"/>
    <n v="7"/>
    <n v="5"/>
    <n v="2"/>
    <n v="4"/>
    <n v="2"/>
    <n v="0"/>
    <n v="3"/>
    <s v="3-5 yrs"/>
  </r>
  <r>
    <n v="40"/>
    <x v="1"/>
    <s v="Non-Travel"/>
    <n v="663"/>
    <x v="1"/>
    <n v="9"/>
    <n v="4"/>
    <s v="Other"/>
    <n v="1"/>
    <n v="1449"/>
    <n v="3"/>
    <s v="Male"/>
    <n v="81"/>
    <n v="3"/>
    <n v="2"/>
    <s v="Laboratory Technician"/>
    <x v="2"/>
    <s v="Divorced"/>
    <x v="966"/>
    <n v="23099"/>
    <n v="3"/>
    <s v="Y"/>
    <s v="No"/>
    <n v="11"/>
    <n v="3"/>
    <n v="3"/>
    <n v="80"/>
    <n v="2"/>
    <n v="11"/>
    <n v="2"/>
    <n v="4"/>
    <n v="8"/>
    <n v="7"/>
    <n v="0"/>
    <n v="7"/>
    <s v="5+ yrs"/>
  </r>
  <r>
    <n v="31"/>
    <x v="1"/>
    <s v="Travel_Rarely"/>
    <n v="326"/>
    <x v="0"/>
    <n v="8"/>
    <n v="2"/>
    <s v="Life Sciences"/>
    <n v="1"/>
    <n v="1453"/>
    <n v="1"/>
    <s v="Male"/>
    <n v="31"/>
    <n v="3"/>
    <n v="3"/>
    <s v="Sales Executive"/>
    <x v="0"/>
    <s v="Divorced"/>
    <x v="967"/>
    <n v="8386"/>
    <n v="1"/>
    <s v="Y"/>
    <s v="No"/>
    <n v="18"/>
    <n v="3"/>
    <n v="1"/>
    <n v="80"/>
    <n v="1"/>
    <n v="13"/>
    <n v="5"/>
    <n v="3"/>
    <n v="13"/>
    <n v="7"/>
    <n v="9"/>
    <n v="9"/>
    <s v="5+ yrs"/>
  </r>
  <r>
    <n v="46"/>
    <x v="0"/>
    <s v="Travel_Rarely"/>
    <n v="377"/>
    <x v="0"/>
    <n v="9"/>
    <n v="3"/>
    <s v="Marketing"/>
    <n v="1"/>
    <n v="1457"/>
    <n v="1"/>
    <s v="Male"/>
    <n v="52"/>
    <n v="3"/>
    <n v="3"/>
    <s v="Sales Executive"/>
    <x v="0"/>
    <s v="Divorced"/>
    <x v="61"/>
    <n v="15986"/>
    <n v="4"/>
    <s v="Y"/>
    <s v="No"/>
    <n v="11"/>
    <n v="3"/>
    <n v="1"/>
    <n v="80"/>
    <n v="1"/>
    <n v="28"/>
    <n v="1"/>
    <n v="4"/>
    <n v="7"/>
    <n v="7"/>
    <n v="4"/>
    <n v="3"/>
    <s v="5+ yrs"/>
  </r>
  <r>
    <n v="39"/>
    <x v="0"/>
    <s v="Non-Travel"/>
    <n v="592"/>
    <x v="1"/>
    <n v="2"/>
    <n v="3"/>
    <s v="Life Sciences"/>
    <n v="1"/>
    <n v="1458"/>
    <n v="1"/>
    <s v="Female"/>
    <n v="54"/>
    <n v="2"/>
    <n v="1"/>
    <s v="Laboratory Technician"/>
    <x v="3"/>
    <s v="Single"/>
    <x v="968"/>
    <n v="17181"/>
    <n v="2"/>
    <s v="Y"/>
    <s v="Yes"/>
    <n v="23"/>
    <n v="4"/>
    <n v="2"/>
    <n v="80"/>
    <n v="0"/>
    <n v="11"/>
    <n v="2"/>
    <n v="4"/>
    <n v="1"/>
    <n v="0"/>
    <n v="0"/>
    <n v="0"/>
    <s v="0-2 yrs"/>
  </r>
  <r>
    <n v="31"/>
    <x v="0"/>
    <s v="Travel_Frequently"/>
    <n v="1445"/>
    <x v="1"/>
    <n v="1"/>
    <n v="5"/>
    <s v="Life Sciences"/>
    <n v="1"/>
    <n v="1459"/>
    <n v="3"/>
    <s v="Female"/>
    <n v="100"/>
    <n v="4"/>
    <n v="3"/>
    <s v="Manufacturing Director"/>
    <x v="1"/>
    <s v="Single"/>
    <x v="969"/>
    <n v="8931"/>
    <n v="1"/>
    <s v="Y"/>
    <s v="No"/>
    <n v="11"/>
    <n v="3"/>
    <n v="1"/>
    <n v="80"/>
    <n v="0"/>
    <n v="10"/>
    <n v="2"/>
    <n v="3"/>
    <n v="10"/>
    <n v="8"/>
    <n v="4"/>
    <n v="7"/>
    <s v="5+ yrs"/>
  </r>
  <r>
    <n v="45"/>
    <x v="1"/>
    <s v="Travel_Rarely"/>
    <n v="1038"/>
    <x v="1"/>
    <n v="20"/>
    <n v="3"/>
    <s v="Medical"/>
    <n v="1"/>
    <n v="1460"/>
    <n v="2"/>
    <s v="Male"/>
    <n v="95"/>
    <n v="1"/>
    <n v="3"/>
    <s v="Healthcare Representative"/>
    <x v="3"/>
    <s v="Divorced"/>
    <x v="970"/>
    <n v="19863"/>
    <n v="2"/>
    <s v="Y"/>
    <s v="Yes"/>
    <n v="18"/>
    <n v="3"/>
    <n v="2"/>
    <n v="80"/>
    <n v="1"/>
    <n v="24"/>
    <n v="2"/>
    <n v="3"/>
    <n v="7"/>
    <n v="7"/>
    <n v="0"/>
    <n v="7"/>
    <s v="5+ yrs"/>
  </r>
  <r>
    <n v="31"/>
    <x v="1"/>
    <s v="Travel_Rarely"/>
    <n v="1398"/>
    <x v="2"/>
    <n v="8"/>
    <n v="2"/>
    <s v="Medical"/>
    <n v="1"/>
    <n v="1461"/>
    <n v="4"/>
    <s v="Female"/>
    <n v="96"/>
    <n v="4"/>
    <n v="1"/>
    <s v="Human Resources"/>
    <x v="1"/>
    <s v="Single"/>
    <x v="971"/>
    <n v="24609"/>
    <n v="9"/>
    <s v="Y"/>
    <s v="No"/>
    <n v="18"/>
    <n v="3"/>
    <n v="4"/>
    <n v="80"/>
    <n v="0"/>
    <n v="8"/>
    <n v="3"/>
    <n v="3"/>
    <n v="3"/>
    <n v="2"/>
    <n v="0"/>
    <n v="2"/>
    <s v="3-5 yrs"/>
  </r>
  <r>
    <n v="31"/>
    <x v="0"/>
    <s v="Travel_Frequently"/>
    <n v="523"/>
    <x v="1"/>
    <n v="2"/>
    <n v="3"/>
    <s v="Life Sciences"/>
    <n v="1"/>
    <n v="1464"/>
    <n v="2"/>
    <s v="Male"/>
    <n v="94"/>
    <n v="3"/>
    <n v="1"/>
    <s v="Laboratory Technician"/>
    <x v="0"/>
    <s v="Married"/>
    <x v="972"/>
    <n v="21081"/>
    <n v="6"/>
    <s v="Y"/>
    <s v="Yes"/>
    <n v="13"/>
    <n v="3"/>
    <n v="3"/>
    <n v="80"/>
    <n v="1"/>
    <n v="7"/>
    <n v="2"/>
    <n v="1"/>
    <n v="2"/>
    <n v="2"/>
    <n v="2"/>
    <n v="2"/>
    <s v="0-2 yrs"/>
  </r>
  <r>
    <n v="45"/>
    <x v="1"/>
    <s v="Travel_Rarely"/>
    <n v="1448"/>
    <x v="1"/>
    <n v="29"/>
    <n v="3"/>
    <s v="Technical Degree"/>
    <n v="1"/>
    <n v="1465"/>
    <n v="2"/>
    <s v="Male"/>
    <n v="55"/>
    <n v="3"/>
    <n v="3"/>
    <s v="Manufacturing Director"/>
    <x v="0"/>
    <s v="Married"/>
    <x v="973"/>
    <n v="14720"/>
    <n v="4"/>
    <s v="Y"/>
    <s v="Yes"/>
    <n v="18"/>
    <n v="3"/>
    <n v="4"/>
    <n v="80"/>
    <n v="2"/>
    <n v="10"/>
    <n v="4"/>
    <n v="4"/>
    <n v="3"/>
    <n v="1"/>
    <n v="1"/>
    <n v="2"/>
    <s v="3-5 yrs"/>
  </r>
  <r>
    <n v="48"/>
    <x v="1"/>
    <s v="Travel_Rarely"/>
    <n v="1221"/>
    <x v="0"/>
    <n v="7"/>
    <n v="3"/>
    <s v="Marketing"/>
    <n v="1"/>
    <n v="1466"/>
    <n v="3"/>
    <s v="Male"/>
    <n v="96"/>
    <n v="3"/>
    <n v="2"/>
    <s v="Sales Executive"/>
    <x v="3"/>
    <s v="Divorced"/>
    <x v="974"/>
    <n v="24795"/>
    <n v="4"/>
    <s v="Y"/>
    <s v="No"/>
    <n v="11"/>
    <n v="3"/>
    <n v="1"/>
    <n v="80"/>
    <n v="3"/>
    <n v="15"/>
    <n v="3"/>
    <n v="3"/>
    <n v="2"/>
    <n v="2"/>
    <n v="2"/>
    <n v="2"/>
    <s v="0-2 yrs"/>
  </r>
  <r>
    <n v="34"/>
    <x v="0"/>
    <s v="Travel_Rarely"/>
    <n v="1107"/>
    <x v="2"/>
    <n v="9"/>
    <n v="4"/>
    <s v="Technical Degree"/>
    <n v="1"/>
    <n v="1467"/>
    <n v="1"/>
    <s v="Female"/>
    <n v="52"/>
    <n v="3"/>
    <n v="1"/>
    <s v="Human Resources"/>
    <x v="2"/>
    <s v="Married"/>
    <x v="975"/>
    <n v="3072"/>
    <n v="1"/>
    <s v="Y"/>
    <s v="No"/>
    <n v="15"/>
    <n v="3"/>
    <n v="4"/>
    <n v="80"/>
    <n v="0"/>
    <n v="2"/>
    <n v="0"/>
    <n v="3"/>
    <n v="2"/>
    <n v="2"/>
    <n v="2"/>
    <n v="2"/>
    <s v="0-2 yrs"/>
  </r>
  <r>
    <n v="40"/>
    <x v="1"/>
    <s v="Non-Travel"/>
    <n v="218"/>
    <x v="1"/>
    <n v="8"/>
    <n v="1"/>
    <s v="Medical"/>
    <n v="1"/>
    <n v="1468"/>
    <n v="4"/>
    <s v="Male"/>
    <n v="55"/>
    <n v="2"/>
    <n v="3"/>
    <s v="Research Director"/>
    <x v="1"/>
    <s v="Divorced"/>
    <x v="976"/>
    <n v="25178"/>
    <n v="2"/>
    <s v="Y"/>
    <s v="No"/>
    <n v="11"/>
    <n v="3"/>
    <n v="3"/>
    <n v="80"/>
    <n v="1"/>
    <n v="16"/>
    <n v="5"/>
    <n v="3"/>
    <n v="9"/>
    <n v="8"/>
    <n v="4"/>
    <n v="8"/>
    <s v="5+ yrs"/>
  </r>
  <r>
    <n v="28"/>
    <x v="1"/>
    <s v="Travel_Rarely"/>
    <n v="866"/>
    <x v="0"/>
    <n v="5"/>
    <n v="3"/>
    <s v="Medical"/>
    <n v="1"/>
    <n v="1469"/>
    <n v="4"/>
    <s v="Male"/>
    <n v="84"/>
    <n v="3"/>
    <n v="2"/>
    <s v="Sales Executive"/>
    <x v="3"/>
    <s v="Single"/>
    <x v="977"/>
    <n v="23490"/>
    <n v="0"/>
    <s v="Y"/>
    <s v="No"/>
    <n v="18"/>
    <n v="3"/>
    <n v="4"/>
    <n v="80"/>
    <n v="0"/>
    <n v="6"/>
    <n v="4"/>
    <n v="3"/>
    <n v="5"/>
    <n v="4"/>
    <n v="1"/>
    <n v="3"/>
    <s v="3-5 yrs"/>
  </r>
  <r>
    <n v="44"/>
    <x v="1"/>
    <s v="Non-Travel"/>
    <n v="981"/>
    <x v="1"/>
    <n v="5"/>
    <n v="3"/>
    <s v="Life Sciences"/>
    <n v="1"/>
    <n v="1471"/>
    <n v="3"/>
    <s v="Male"/>
    <n v="90"/>
    <n v="2"/>
    <n v="1"/>
    <s v="Laboratory Technician"/>
    <x v="2"/>
    <s v="Single"/>
    <x v="612"/>
    <n v="7973"/>
    <n v="3"/>
    <s v="Y"/>
    <s v="No"/>
    <n v="14"/>
    <n v="3"/>
    <n v="4"/>
    <n v="80"/>
    <n v="0"/>
    <n v="7"/>
    <n v="5"/>
    <n v="3"/>
    <n v="5"/>
    <n v="2"/>
    <n v="0"/>
    <n v="3"/>
    <s v="3-5 yrs"/>
  </r>
  <r>
    <n v="53"/>
    <x v="1"/>
    <s v="Travel_Rarely"/>
    <n v="447"/>
    <x v="1"/>
    <n v="2"/>
    <n v="3"/>
    <s v="Medical"/>
    <n v="1"/>
    <n v="1472"/>
    <n v="4"/>
    <s v="Male"/>
    <n v="39"/>
    <n v="4"/>
    <n v="4"/>
    <s v="Research Director"/>
    <x v="1"/>
    <s v="Single"/>
    <x v="978"/>
    <n v="19764"/>
    <n v="4"/>
    <s v="Y"/>
    <s v="No"/>
    <n v="12"/>
    <n v="3"/>
    <n v="2"/>
    <n v="80"/>
    <n v="0"/>
    <n v="35"/>
    <n v="2"/>
    <n v="2"/>
    <n v="9"/>
    <n v="8"/>
    <n v="8"/>
    <n v="8"/>
    <s v="5+ yrs"/>
  </r>
  <r>
    <n v="49"/>
    <x v="1"/>
    <s v="Travel_Rarely"/>
    <n v="1495"/>
    <x v="1"/>
    <n v="5"/>
    <n v="4"/>
    <s v="Technical Degree"/>
    <n v="1"/>
    <n v="1473"/>
    <n v="1"/>
    <s v="Male"/>
    <n v="96"/>
    <n v="3"/>
    <n v="2"/>
    <s v="Healthcare Representative"/>
    <x v="2"/>
    <s v="Married"/>
    <x v="979"/>
    <n v="21534"/>
    <n v="2"/>
    <s v="Y"/>
    <s v="No"/>
    <n v="14"/>
    <n v="3"/>
    <n v="2"/>
    <n v="80"/>
    <n v="1"/>
    <n v="20"/>
    <n v="0"/>
    <n v="2"/>
    <n v="3"/>
    <n v="2"/>
    <n v="1"/>
    <n v="2"/>
    <s v="3-5 yrs"/>
  </r>
  <r>
    <n v="40"/>
    <x v="1"/>
    <s v="Travel_Rarely"/>
    <n v="896"/>
    <x v="1"/>
    <n v="2"/>
    <n v="3"/>
    <s v="Medical"/>
    <n v="1"/>
    <n v="1474"/>
    <n v="3"/>
    <s v="Male"/>
    <n v="68"/>
    <n v="3"/>
    <n v="1"/>
    <s v="Research Scientist"/>
    <x v="2"/>
    <s v="Divorced"/>
    <x v="980"/>
    <n v="8045"/>
    <n v="2"/>
    <s v="Y"/>
    <s v="No"/>
    <n v="14"/>
    <n v="3"/>
    <n v="3"/>
    <n v="80"/>
    <n v="1"/>
    <n v="8"/>
    <n v="3"/>
    <n v="4"/>
    <n v="3"/>
    <n v="1"/>
    <n v="1"/>
    <n v="2"/>
    <s v="3-5 yrs"/>
  </r>
  <r>
    <n v="44"/>
    <x v="1"/>
    <s v="Travel_Rarely"/>
    <n v="1467"/>
    <x v="1"/>
    <n v="20"/>
    <n v="3"/>
    <s v="Life Sciences"/>
    <n v="1"/>
    <n v="1475"/>
    <n v="4"/>
    <s v="Male"/>
    <n v="49"/>
    <n v="3"/>
    <n v="1"/>
    <s v="Research Scientist"/>
    <x v="1"/>
    <s v="Single"/>
    <x v="959"/>
    <n v="21158"/>
    <n v="1"/>
    <s v="Y"/>
    <s v="No"/>
    <n v="13"/>
    <n v="3"/>
    <n v="3"/>
    <n v="80"/>
    <n v="0"/>
    <n v="6"/>
    <n v="3"/>
    <n v="2"/>
    <n v="5"/>
    <n v="2"/>
    <n v="1"/>
    <n v="3"/>
    <s v="3-5 yrs"/>
  </r>
  <r>
    <n v="33"/>
    <x v="1"/>
    <s v="Travel_Frequently"/>
    <n v="430"/>
    <x v="0"/>
    <n v="7"/>
    <n v="3"/>
    <s v="Medical"/>
    <n v="1"/>
    <n v="1477"/>
    <n v="4"/>
    <s v="Male"/>
    <n v="54"/>
    <n v="3"/>
    <n v="2"/>
    <s v="Sales Executive"/>
    <x v="3"/>
    <s v="Married"/>
    <x v="981"/>
    <n v="17456"/>
    <n v="0"/>
    <s v="Y"/>
    <s v="No"/>
    <n v="14"/>
    <n v="3"/>
    <n v="1"/>
    <n v="80"/>
    <n v="2"/>
    <n v="5"/>
    <n v="2"/>
    <n v="3"/>
    <n v="4"/>
    <n v="3"/>
    <n v="0"/>
    <n v="3"/>
    <s v="3-5 yrs"/>
  </r>
  <r>
    <n v="34"/>
    <x v="1"/>
    <s v="Travel_Rarely"/>
    <n v="1326"/>
    <x v="0"/>
    <n v="3"/>
    <n v="3"/>
    <s v="Other"/>
    <n v="1"/>
    <n v="1478"/>
    <n v="4"/>
    <s v="Male"/>
    <n v="81"/>
    <n v="1"/>
    <n v="2"/>
    <s v="Sales Executive"/>
    <x v="3"/>
    <s v="Single"/>
    <x v="982"/>
    <n v="15891"/>
    <n v="3"/>
    <s v="Y"/>
    <s v="No"/>
    <n v="18"/>
    <n v="3"/>
    <n v="4"/>
    <n v="80"/>
    <n v="0"/>
    <n v="15"/>
    <n v="2"/>
    <n v="3"/>
    <n v="13"/>
    <n v="9"/>
    <n v="3"/>
    <n v="12"/>
    <s v="5+ yrs"/>
  </r>
  <r>
    <n v="30"/>
    <x v="1"/>
    <s v="Travel_Rarely"/>
    <n v="1358"/>
    <x v="0"/>
    <n v="16"/>
    <n v="1"/>
    <s v="Life Sciences"/>
    <n v="1"/>
    <n v="1479"/>
    <n v="4"/>
    <s v="Male"/>
    <n v="96"/>
    <n v="3"/>
    <n v="2"/>
    <s v="Sales Executive"/>
    <x v="2"/>
    <s v="Married"/>
    <x v="983"/>
    <n v="2939"/>
    <n v="8"/>
    <s v="Y"/>
    <s v="No"/>
    <n v="15"/>
    <n v="3"/>
    <n v="3"/>
    <n v="80"/>
    <n v="2"/>
    <n v="4"/>
    <n v="2"/>
    <n v="2"/>
    <n v="2"/>
    <n v="1"/>
    <n v="2"/>
    <n v="2"/>
    <s v="0-2 yrs"/>
  </r>
  <r>
    <n v="42"/>
    <x v="1"/>
    <s v="Travel_Frequently"/>
    <n v="748"/>
    <x v="1"/>
    <n v="9"/>
    <n v="2"/>
    <s v="Medical"/>
    <n v="1"/>
    <n v="1480"/>
    <n v="1"/>
    <s v="Female"/>
    <n v="74"/>
    <n v="3"/>
    <n v="1"/>
    <s v="Laboratory Technician"/>
    <x v="0"/>
    <s v="Single"/>
    <x v="984"/>
    <n v="16458"/>
    <n v="1"/>
    <s v="Y"/>
    <s v="No"/>
    <n v="13"/>
    <n v="3"/>
    <n v="3"/>
    <n v="80"/>
    <n v="0"/>
    <n v="12"/>
    <n v="3"/>
    <n v="3"/>
    <n v="12"/>
    <n v="9"/>
    <n v="5"/>
    <n v="8"/>
    <s v="5+ yrs"/>
  </r>
  <r>
    <n v="44"/>
    <x v="1"/>
    <s v="Travel_Frequently"/>
    <n v="383"/>
    <x v="0"/>
    <n v="1"/>
    <n v="5"/>
    <s v="Marketing"/>
    <n v="1"/>
    <n v="1481"/>
    <n v="1"/>
    <s v="Female"/>
    <n v="79"/>
    <n v="3"/>
    <n v="2"/>
    <s v="Sales Executive"/>
    <x v="2"/>
    <s v="Married"/>
    <x v="985"/>
    <n v="9282"/>
    <n v="7"/>
    <s v="Y"/>
    <s v="No"/>
    <n v="12"/>
    <n v="3"/>
    <n v="3"/>
    <n v="80"/>
    <n v="1"/>
    <n v="11"/>
    <n v="4"/>
    <n v="2"/>
    <n v="1"/>
    <n v="0"/>
    <n v="0"/>
    <n v="0"/>
    <s v="0-2 yrs"/>
  </r>
  <r>
    <n v="30"/>
    <x v="1"/>
    <s v="Non-Travel"/>
    <n v="990"/>
    <x v="1"/>
    <n v="7"/>
    <n v="3"/>
    <s v="Technical Degree"/>
    <n v="1"/>
    <n v="1482"/>
    <n v="3"/>
    <s v="Male"/>
    <n v="64"/>
    <n v="3"/>
    <n v="1"/>
    <s v="Research Scientist"/>
    <x v="2"/>
    <s v="Divorced"/>
    <x v="986"/>
    <n v="7152"/>
    <n v="1"/>
    <s v="Y"/>
    <s v="No"/>
    <n v="13"/>
    <n v="3"/>
    <n v="2"/>
    <n v="80"/>
    <n v="2"/>
    <n v="1"/>
    <n v="2"/>
    <n v="2"/>
    <n v="1"/>
    <n v="0"/>
    <n v="0"/>
    <n v="0"/>
    <s v="0-2 yrs"/>
  </r>
  <r>
    <n v="57"/>
    <x v="1"/>
    <s v="Travel_Rarely"/>
    <n v="405"/>
    <x v="1"/>
    <n v="1"/>
    <n v="2"/>
    <s v="Life Sciences"/>
    <n v="1"/>
    <n v="1483"/>
    <n v="2"/>
    <s v="Male"/>
    <n v="93"/>
    <n v="4"/>
    <n v="2"/>
    <s v="Research Scientist"/>
    <x v="2"/>
    <s v="Married"/>
    <x v="987"/>
    <n v="2721"/>
    <n v="0"/>
    <s v="Y"/>
    <s v="No"/>
    <n v="24"/>
    <n v="4"/>
    <n v="1"/>
    <n v="80"/>
    <n v="1"/>
    <n v="13"/>
    <n v="2"/>
    <n v="2"/>
    <n v="12"/>
    <n v="9"/>
    <n v="2"/>
    <n v="8"/>
    <s v="5+ yrs"/>
  </r>
  <r>
    <n v="49"/>
    <x v="1"/>
    <s v="Travel_Rarely"/>
    <n v="1490"/>
    <x v="1"/>
    <n v="7"/>
    <n v="4"/>
    <s v="Life Sciences"/>
    <n v="1"/>
    <n v="1484"/>
    <n v="3"/>
    <s v="Male"/>
    <n v="35"/>
    <n v="3"/>
    <n v="3"/>
    <s v="Healthcare Representative"/>
    <x v="1"/>
    <s v="Divorced"/>
    <x v="988"/>
    <n v="20948"/>
    <n v="3"/>
    <s v="Y"/>
    <s v="No"/>
    <n v="14"/>
    <n v="3"/>
    <n v="2"/>
    <n v="80"/>
    <n v="2"/>
    <n v="29"/>
    <n v="3"/>
    <n v="3"/>
    <n v="8"/>
    <n v="7"/>
    <n v="0"/>
    <n v="7"/>
    <s v="5+ yrs"/>
  </r>
  <r>
    <n v="34"/>
    <x v="1"/>
    <s v="Travel_Frequently"/>
    <n v="829"/>
    <x v="1"/>
    <n v="15"/>
    <n v="3"/>
    <s v="Medical"/>
    <n v="1"/>
    <n v="1485"/>
    <n v="2"/>
    <s v="Male"/>
    <n v="71"/>
    <n v="3"/>
    <n v="4"/>
    <s v="Research Director"/>
    <x v="3"/>
    <s v="Divorced"/>
    <x v="989"/>
    <n v="11929"/>
    <n v="7"/>
    <s v="Y"/>
    <s v="No"/>
    <n v="14"/>
    <n v="3"/>
    <n v="4"/>
    <n v="80"/>
    <n v="2"/>
    <n v="16"/>
    <n v="3"/>
    <n v="2"/>
    <n v="14"/>
    <n v="8"/>
    <n v="6"/>
    <n v="9"/>
    <s v="5+ yrs"/>
  </r>
  <r>
    <n v="28"/>
    <x v="0"/>
    <s v="Travel_Frequently"/>
    <n v="1496"/>
    <x v="0"/>
    <n v="1"/>
    <n v="3"/>
    <s v="Technical Degree"/>
    <n v="1"/>
    <n v="1486"/>
    <n v="1"/>
    <s v="Male"/>
    <n v="92"/>
    <n v="3"/>
    <n v="1"/>
    <s v="Sales Representative"/>
    <x v="2"/>
    <s v="Married"/>
    <x v="3"/>
    <n v="15747"/>
    <n v="3"/>
    <s v="Y"/>
    <s v="No"/>
    <n v="15"/>
    <n v="3"/>
    <n v="4"/>
    <n v="80"/>
    <n v="1"/>
    <n v="5"/>
    <n v="3"/>
    <n v="4"/>
    <n v="3"/>
    <n v="2"/>
    <n v="1"/>
    <n v="2"/>
    <s v="3-5 yrs"/>
  </r>
  <r>
    <n v="29"/>
    <x v="0"/>
    <s v="Travel_Frequently"/>
    <n v="115"/>
    <x v="0"/>
    <n v="13"/>
    <n v="3"/>
    <s v="Technical Degree"/>
    <n v="1"/>
    <n v="1487"/>
    <n v="1"/>
    <s v="Female"/>
    <n v="51"/>
    <n v="3"/>
    <n v="2"/>
    <s v="Sales Executive"/>
    <x v="1"/>
    <s v="Single"/>
    <x v="990"/>
    <n v="17485"/>
    <n v="5"/>
    <s v="Y"/>
    <s v="No"/>
    <n v="11"/>
    <n v="3"/>
    <n v="1"/>
    <n v="80"/>
    <n v="0"/>
    <n v="7"/>
    <n v="4"/>
    <n v="1"/>
    <n v="5"/>
    <n v="3"/>
    <n v="0"/>
    <n v="0"/>
    <s v="3-5 yrs"/>
  </r>
  <r>
    <n v="34"/>
    <x v="0"/>
    <s v="Travel_Rarely"/>
    <n v="790"/>
    <x v="0"/>
    <n v="24"/>
    <n v="4"/>
    <s v="Medical"/>
    <n v="1"/>
    <n v="1489"/>
    <n v="1"/>
    <s v="Female"/>
    <n v="40"/>
    <n v="2"/>
    <n v="2"/>
    <s v="Sales Executive"/>
    <x v="1"/>
    <s v="Single"/>
    <x v="991"/>
    <n v="7815"/>
    <n v="0"/>
    <s v="Y"/>
    <s v="Yes"/>
    <n v="23"/>
    <n v="4"/>
    <n v="3"/>
    <n v="80"/>
    <n v="0"/>
    <n v="16"/>
    <n v="2"/>
    <n v="4"/>
    <n v="15"/>
    <n v="9"/>
    <n v="10"/>
    <n v="10"/>
    <s v="5+ yrs"/>
  </r>
  <r>
    <n v="35"/>
    <x v="1"/>
    <s v="Travel_Rarely"/>
    <n v="660"/>
    <x v="0"/>
    <n v="7"/>
    <n v="1"/>
    <s v="Life Sciences"/>
    <n v="1"/>
    <n v="1492"/>
    <n v="4"/>
    <s v="Male"/>
    <n v="76"/>
    <n v="3"/>
    <n v="1"/>
    <s v="Sales Representative"/>
    <x v="2"/>
    <s v="Married"/>
    <x v="639"/>
    <n v="16192"/>
    <n v="1"/>
    <s v="Y"/>
    <s v="No"/>
    <n v="13"/>
    <n v="3"/>
    <n v="1"/>
    <n v="80"/>
    <n v="1"/>
    <n v="1"/>
    <n v="3"/>
    <n v="3"/>
    <n v="1"/>
    <n v="0"/>
    <n v="0"/>
    <n v="0"/>
    <s v="0-2 yrs"/>
  </r>
  <r>
    <n v="24"/>
    <x v="0"/>
    <s v="Travel_Frequently"/>
    <n v="381"/>
    <x v="1"/>
    <n v="9"/>
    <n v="3"/>
    <s v="Medical"/>
    <n v="1"/>
    <n v="1494"/>
    <n v="2"/>
    <s v="Male"/>
    <n v="89"/>
    <n v="3"/>
    <n v="1"/>
    <s v="Laboratory Technician"/>
    <x v="3"/>
    <s v="Single"/>
    <x v="992"/>
    <n v="16998"/>
    <n v="2"/>
    <s v="Y"/>
    <s v="Yes"/>
    <n v="11"/>
    <n v="3"/>
    <n v="3"/>
    <n v="80"/>
    <n v="0"/>
    <n v="4"/>
    <n v="2"/>
    <n v="2"/>
    <n v="0"/>
    <n v="0"/>
    <n v="0"/>
    <n v="0"/>
    <s v="0-2 yrs"/>
  </r>
  <r>
    <n v="24"/>
    <x v="1"/>
    <s v="Non-Travel"/>
    <n v="830"/>
    <x v="0"/>
    <n v="13"/>
    <n v="2"/>
    <s v="Life Sciences"/>
    <n v="1"/>
    <n v="1495"/>
    <n v="4"/>
    <s v="Female"/>
    <n v="78"/>
    <n v="3"/>
    <n v="1"/>
    <s v="Sales Representative"/>
    <x v="1"/>
    <s v="Married"/>
    <x v="462"/>
    <n v="7103"/>
    <n v="1"/>
    <s v="Y"/>
    <s v="No"/>
    <n v="13"/>
    <n v="3"/>
    <n v="3"/>
    <n v="80"/>
    <n v="1"/>
    <n v="1"/>
    <n v="2"/>
    <n v="3"/>
    <n v="1"/>
    <n v="0"/>
    <n v="0"/>
    <n v="0"/>
    <s v="0-2 yrs"/>
  </r>
  <r>
    <n v="44"/>
    <x v="1"/>
    <s v="Travel_Frequently"/>
    <n v="1193"/>
    <x v="1"/>
    <n v="2"/>
    <n v="1"/>
    <s v="Medical"/>
    <n v="1"/>
    <n v="1496"/>
    <n v="2"/>
    <s v="Male"/>
    <n v="86"/>
    <n v="3"/>
    <n v="3"/>
    <s v="Manufacturing Director"/>
    <x v="2"/>
    <s v="Single"/>
    <x v="993"/>
    <n v="19719"/>
    <n v="5"/>
    <s v="Y"/>
    <s v="Yes"/>
    <n v="18"/>
    <n v="3"/>
    <n v="2"/>
    <n v="80"/>
    <n v="0"/>
    <n v="16"/>
    <n v="2"/>
    <n v="2"/>
    <n v="2"/>
    <n v="2"/>
    <n v="2"/>
    <n v="2"/>
    <s v="0-2 yrs"/>
  </r>
  <r>
    <n v="29"/>
    <x v="1"/>
    <s v="Travel_Rarely"/>
    <n v="1246"/>
    <x v="0"/>
    <n v="19"/>
    <n v="3"/>
    <s v="Life Sciences"/>
    <n v="1"/>
    <n v="1497"/>
    <n v="3"/>
    <s v="Male"/>
    <n v="77"/>
    <n v="2"/>
    <n v="2"/>
    <s v="Sales Executive"/>
    <x v="2"/>
    <s v="Divorced"/>
    <x v="994"/>
    <n v="23757"/>
    <n v="1"/>
    <s v="Y"/>
    <s v="No"/>
    <n v="14"/>
    <n v="3"/>
    <n v="3"/>
    <n v="80"/>
    <n v="2"/>
    <n v="10"/>
    <n v="3"/>
    <n v="3"/>
    <n v="10"/>
    <n v="7"/>
    <n v="0"/>
    <n v="4"/>
    <s v="5+ yrs"/>
  </r>
  <r>
    <n v="30"/>
    <x v="1"/>
    <s v="Travel_Rarely"/>
    <n v="330"/>
    <x v="2"/>
    <n v="1"/>
    <n v="3"/>
    <s v="Life Sciences"/>
    <n v="1"/>
    <n v="1499"/>
    <n v="3"/>
    <s v="Male"/>
    <n v="46"/>
    <n v="3"/>
    <n v="1"/>
    <s v="Human Resources"/>
    <x v="2"/>
    <s v="Divorced"/>
    <x v="995"/>
    <n v="15428"/>
    <n v="0"/>
    <s v="Y"/>
    <s v="No"/>
    <n v="21"/>
    <n v="4"/>
    <n v="1"/>
    <n v="80"/>
    <n v="1"/>
    <n v="6"/>
    <n v="3"/>
    <n v="4"/>
    <n v="5"/>
    <n v="3"/>
    <n v="1"/>
    <n v="3"/>
    <s v="3-5 yrs"/>
  </r>
  <r>
    <n v="55"/>
    <x v="1"/>
    <s v="Travel_Rarely"/>
    <n v="1229"/>
    <x v="1"/>
    <n v="4"/>
    <n v="4"/>
    <s v="Life Sciences"/>
    <n v="1"/>
    <n v="1501"/>
    <n v="4"/>
    <s v="Male"/>
    <n v="30"/>
    <n v="3"/>
    <n v="2"/>
    <s v="Healthcare Representative"/>
    <x v="2"/>
    <s v="Married"/>
    <x v="996"/>
    <n v="16143"/>
    <n v="0"/>
    <s v="Y"/>
    <s v="Yes"/>
    <n v="16"/>
    <n v="3"/>
    <n v="2"/>
    <n v="80"/>
    <n v="0"/>
    <n v="4"/>
    <n v="2"/>
    <n v="3"/>
    <n v="3"/>
    <n v="2"/>
    <n v="1"/>
    <n v="2"/>
    <s v="3-5 yrs"/>
  </r>
  <r>
    <n v="33"/>
    <x v="1"/>
    <s v="Travel_Rarely"/>
    <n v="1099"/>
    <x v="1"/>
    <n v="4"/>
    <n v="4"/>
    <s v="Medical"/>
    <n v="1"/>
    <n v="1502"/>
    <n v="1"/>
    <s v="Female"/>
    <n v="82"/>
    <n v="2"/>
    <n v="1"/>
    <s v="Laboratory Technician"/>
    <x v="1"/>
    <s v="Married"/>
    <x v="997"/>
    <n v="8192"/>
    <n v="8"/>
    <s v="Y"/>
    <s v="No"/>
    <n v="11"/>
    <n v="3"/>
    <n v="4"/>
    <n v="80"/>
    <n v="0"/>
    <n v="8"/>
    <n v="5"/>
    <n v="3"/>
    <n v="5"/>
    <n v="4"/>
    <n v="0"/>
    <n v="2"/>
    <s v="3-5 yrs"/>
  </r>
  <r>
    <n v="47"/>
    <x v="1"/>
    <s v="Travel_Rarely"/>
    <n v="571"/>
    <x v="0"/>
    <n v="14"/>
    <n v="3"/>
    <s v="Medical"/>
    <n v="1"/>
    <n v="1503"/>
    <n v="3"/>
    <s v="Female"/>
    <n v="78"/>
    <n v="3"/>
    <n v="2"/>
    <s v="Sales Executive"/>
    <x v="2"/>
    <s v="Married"/>
    <x v="998"/>
    <n v="24200"/>
    <n v="3"/>
    <s v="Y"/>
    <s v="Yes"/>
    <n v="17"/>
    <n v="3"/>
    <n v="3"/>
    <n v="80"/>
    <n v="1"/>
    <n v="11"/>
    <n v="4"/>
    <n v="2"/>
    <n v="5"/>
    <n v="4"/>
    <n v="1"/>
    <n v="2"/>
    <s v="3-5 yrs"/>
  </r>
  <r>
    <n v="28"/>
    <x v="0"/>
    <s v="Travel_Frequently"/>
    <n v="289"/>
    <x v="1"/>
    <n v="2"/>
    <n v="2"/>
    <s v="Medical"/>
    <n v="1"/>
    <n v="1504"/>
    <n v="3"/>
    <s v="Male"/>
    <n v="38"/>
    <n v="2"/>
    <n v="1"/>
    <s v="Laboratory Technician"/>
    <x v="3"/>
    <s v="Single"/>
    <x v="999"/>
    <n v="5355"/>
    <n v="7"/>
    <s v="Y"/>
    <s v="No"/>
    <n v="11"/>
    <n v="3"/>
    <n v="3"/>
    <n v="80"/>
    <n v="0"/>
    <n v="8"/>
    <n v="2"/>
    <n v="2"/>
    <n v="0"/>
    <n v="0"/>
    <n v="0"/>
    <n v="0"/>
    <s v="0-2 yrs"/>
  </r>
  <r>
    <n v="28"/>
    <x v="1"/>
    <s v="Travel_Rarely"/>
    <n v="1423"/>
    <x v="1"/>
    <n v="1"/>
    <n v="3"/>
    <s v="Life Sciences"/>
    <n v="1"/>
    <n v="1506"/>
    <n v="1"/>
    <s v="Male"/>
    <n v="72"/>
    <n v="2"/>
    <n v="1"/>
    <s v="Research Scientist"/>
    <x v="2"/>
    <s v="Divorced"/>
    <x v="1000"/>
    <n v="12530"/>
    <n v="1"/>
    <s v="Y"/>
    <s v="No"/>
    <n v="14"/>
    <n v="3"/>
    <n v="4"/>
    <n v="80"/>
    <n v="1"/>
    <n v="1"/>
    <n v="2"/>
    <n v="1"/>
    <n v="1"/>
    <n v="0"/>
    <n v="0"/>
    <n v="0"/>
    <s v="0-2 yrs"/>
  </r>
  <r>
    <n v="28"/>
    <x v="1"/>
    <s v="Travel_Frequently"/>
    <n v="467"/>
    <x v="0"/>
    <n v="7"/>
    <n v="3"/>
    <s v="Life Sciences"/>
    <n v="1"/>
    <n v="1507"/>
    <n v="3"/>
    <s v="Male"/>
    <n v="55"/>
    <n v="3"/>
    <n v="2"/>
    <s v="Sales Executive"/>
    <x v="3"/>
    <s v="Single"/>
    <x v="249"/>
    <n v="11827"/>
    <n v="0"/>
    <s v="Y"/>
    <s v="No"/>
    <n v="14"/>
    <n v="3"/>
    <n v="4"/>
    <n v="80"/>
    <n v="0"/>
    <n v="5"/>
    <n v="5"/>
    <n v="3"/>
    <n v="4"/>
    <n v="2"/>
    <n v="1"/>
    <n v="3"/>
    <s v="3-5 yrs"/>
  </r>
  <r>
    <n v="49"/>
    <x v="1"/>
    <s v="Travel_Rarely"/>
    <n v="271"/>
    <x v="1"/>
    <n v="3"/>
    <n v="2"/>
    <s v="Medical"/>
    <n v="1"/>
    <n v="1509"/>
    <n v="3"/>
    <s v="Female"/>
    <n v="43"/>
    <n v="2"/>
    <n v="2"/>
    <s v="Laboratory Technician"/>
    <x v="3"/>
    <s v="Married"/>
    <x v="1001"/>
    <n v="23070"/>
    <n v="4"/>
    <s v="Y"/>
    <s v="No"/>
    <n v="25"/>
    <n v="4"/>
    <n v="1"/>
    <n v="80"/>
    <n v="1"/>
    <n v="10"/>
    <n v="3"/>
    <n v="3"/>
    <n v="3"/>
    <n v="2"/>
    <n v="1"/>
    <n v="2"/>
    <s v="3-5 yrs"/>
  </r>
  <r>
    <n v="29"/>
    <x v="1"/>
    <s v="Travel_Frequently"/>
    <n v="410"/>
    <x v="1"/>
    <n v="2"/>
    <n v="1"/>
    <s v="Life Sciences"/>
    <n v="1"/>
    <n v="1513"/>
    <n v="4"/>
    <s v="Female"/>
    <n v="97"/>
    <n v="3"/>
    <n v="1"/>
    <s v="Laboratory Technician"/>
    <x v="1"/>
    <s v="Married"/>
    <x v="1002"/>
    <n v="4668"/>
    <n v="0"/>
    <s v="Y"/>
    <s v="No"/>
    <n v="13"/>
    <n v="3"/>
    <n v="3"/>
    <n v="80"/>
    <n v="3"/>
    <n v="4"/>
    <n v="3"/>
    <n v="3"/>
    <n v="3"/>
    <n v="2"/>
    <n v="0"/>
    <n v="2"/>
    <s v="3-5 yrs"/>
  </r>
  <r>
    <n v="28"/>
    <x v="1"/>
    <s v="Travel_Rarely"/>
    <n v="1083"/>
    <x v="1"/>
    <n v="29"/>
    <n v="1"/>
    <s v="Life Sciences"/>
    <n v="1"/>
    <n v="1514"/>
    <n v="3"/>
    <s v="Male"/>
    <n v="96"/>
    <n v="1"/>
    <n v="2"/>
    <s v="Manufacturing Director"/>
    <x v="1"/>
    <s v="Married"/>
    <x v="1003"/>
    <n v="3173"/>
    <n v="1"/>
    <s v="Y"/>
    <s v="No"/>
    <n v="14"/>
    <n v="3"/>
    <n v="2"/>
    <n v="80"/>
    <n v="2"/>
    <n v="8"/>
    <n v="2"/>
    <n v="2"/>
    <n v="8"/>
    <n v="6"/>
    <n v="1"/>
    <n v="7"/>
    <s v="5+ yrs"/>
  </r>
  <r>
    <n v="33"/>
    <x v="1"/>
    <s v="Travel_Rarely"/>
    <n v="516"/>
    <x v="1"/>
    <n v="8"/>
    <n v="5"/>
    <s v="Life Sciences"/>
    <n v="1"/>
    <n v="1515"/>
    <n v="4"/>
    <s v="Male"/>
    <n v="69"/>
    <n v="3"/>
    <n v="2"/>
    <s v="Healthcare Representative"/>
    <x v="2"/>
    <s v="Single"/>
    <x v="1004"/>
    <n v="22049"/>
    <n v="2"/>
    <s v="Y"/>
    <s v="Yes"/>
    <n v="17"/>
    <n v="3"/>
    <n v="1"/>
    <n v="80"/>
    <n v="0"/>
    <n v="14"/>
    <n v="6"/>
    <n v="3"/>
    <n v="0"/>
    <n v="0"/>
    <n v="0"/>
    <n v="0"/>
    <s v="0-2 yrs"/>
  </r>
  <r>
    <n v="32"/>
    <x v="1"/>
    <s v="Travel_Rarely"/>
    <n v="495"/>
    <x v="1"/>
    <n v="10"/>
    <n v="3"/>
    <s v="Medical"/>
    <n v="1"/>
    <n v="1516"/>
    <n v="3"/>
    <s v="Male"/>
    <n v="64"/>
    <n v="3"/>
    <n v="3"/>
    <s v="Manager"/>
    <x v="0"/>
    <s v="Single"/>
    <x v="1005"/>
    <n v="21072"/>
    <n v="2"/>
    <s v="Y"/>
    <s v="No"/>
    <n v="25"/>
    <n v="4"/>
    <n v="2"/>
    <n v="80"/>
    <n v="0"/>
    <n v="10"/>
    <n v="5"/>
    <n v="4"/>
    <n v="5"/>
    <n v="2"/>
    <n v="0"/>
    <n v="0"/>
    <s v="3-5 yrs"/>
  </r>
  <r>
    <n v="54"/>
    <x v="1"/>
    <s v="Travel_Frequently"/>
    <n v="1050"/>
    <x v="1"/>
    <n v="11"/>
    <n v="4"/>
    <s v="Medical"/>
    <n v="1"/>
    <n v="1520"/>
    <n v="2"/>
    <s v="Female"/>
    <n v="87"/>
    <n v="3"/>
    <n v="4"/>
    <s v="Manager"/>
    <x v="0"/>
    <s v="Divorced"/>
    <x v="1006"/>
    <n v="24456"/>
    <n v="3"/>
    <s v="Y"/>
    <s v="No"/>
    <n v="20"/>
    <n v="4"/>
    <n v="1"/>
    <n v="80"/>
    <n v="1"/>
    <n v="26"/>
    <n v="2"/>
    <n v="3"/>
    <n v="14"/>
    <n v="9"/>
    <n v="1"/>
    <n v="12"/>
    <s v="5+ yrs"/>
  </r>
  <r>
    <n v="29"/>
    <x v="0"/>
    <s v="Travel_Rarely"/>
    <n v="224"/>
    <x v="1"/>
    <n v="1"/>
    <n v="4"/>
    <s v="Technical Degree"/>
    <n v="1"/>
    <n v="1522"/>
    <n v="1"/>
    <s v="Male"/>
    <n v="100"/>
    <n v="2"/>
    <n v="1"/>
    <s v="Research Scientist"/>
    <x v="3"/>
    <s v="Single"/>
    <x v="898"/>
    <n v="7568"/>
    <n v="6"/>
    <s v="Y"/>
    <s v="No"/>
    <n v="13"/>
    <n v="3"/>
    <n v="3"/>
    <n v="80"/>
    <n v="0"/>
    <n v="11"/>
    <n v="2"/>
    <n v="1"/>
    <n v="9"/>
    <n v="7"/>
    <n v="0"/>
    <n v="7"/>
    <s v="5+ yrs"/>
  </r>
  <r>
    <n v="44"/>
    <x v="1"/>
    <s v="Travel_Rarely"/>
    <n v="136"/>
    <x v="1"/>
    <n v="28"/>
    <n v="3"/>
    <s v="Life Sciences"/>
    <n v="1"/>
    <n v="1523"/>
    <n v="4"/>
    <s v="Male"/>
    <n v="32"/>
    <n v="3"/>
    <n v="4"/>
    <s v="Research Director"/>
    <x v="3"/>
    <s v="Married"/>
    <x v="1007"/>
    <n v="22074"/>
    <n v="3"/>
    <s v="Y"/>
    <s v="No"/>
    <n v="13"/>
    <n v="3"/>
    <n v="3"/>
    <n v="80"/>
    <n v="1"/>
    <n v="24"/>
    <n v="1"/>
    <n v="4"/>
    <n v="20"/>
    <n v="6"/>
    <n v="14"/>
    <n v="17"/>
    <s v="5+ yrs"/>
  </r>
  <r>
    <n v="39"/>
    <x v="1"/>
    <s v="Travel_Rarely"/>
    <n v="1089"/>
    <x v="1"/>
    <n v="6"/>
    <n v="3"/>
    <s v="Life Sciences"/>
    <n v="1"/>
    <n v="1525"/>
    <n v="2"/>
    <s v="Female"/>
    <n v="32"/>
    <n v="3"/>
    <n v="3"/>
    <s v="Manufacturing Director"/>
    <x v="1"/>
    <s v="Single"/>
    <x v="1008"/>
    <n v="9150"/>
    <n v="4"/>
    <s v="Y"/>
    <s v="No"/>
    <n v="18"/>
    <n v="3"/>
    <n v="4"/>
    <n v="80"/>
    <n v="0"/>
    <n v="9"/>
    <n v="3"/>
    <n v="3"/>
    <n v="2"/>
    <n v="0"/>
    <n v="2"/>
    <n v="2"/>
    <s v="0-2 yrs"/>
  </r>
  <r>
    <n v="46"/>
    <x v="1"/>
    <s v="Travel_Rarely"/>
    <n v="228"/>
    <x v="0"/>
    <n v="3"/>
    <n v="3"/>
    <s v="Life Sciences"/>
    <n v="1"/>
    <n v="1527"/>
    <n v="3"/>
    <s v="Female"/>
    <n v="51"/>
    <n v="3"/>
    <n v="4"/>
    <s v="Manager"/>
    <x v="1"/>
    <s v="Married"/>
    <x v="1009"/>
    <n v="11380"/>
    <n v="8"/>
    <s v="Y"/>
    <s v="No"/>
    <n v="12"/>
    <n v="3"/>
    <n v="4"/>
    <n v="80"/>
    <n v="1"/>
    <n v="23"/>
    <n v="2"/>
    <n v="4"/>
    <n v="13"/>
    <n v="12"/>
    <n v="5"/>
    <n v="1"/>
    <s v="5+ yrs"/>
  </r>
  <r>
    <n v="35"/>
    <x v="1"/>
    <s v="Travel_Rarely"/>
    <n v="1029"/>
    <x v="1"/>
    <n v="16"/>
    <n v="3"/>
    <s v="Life Sciences"/>
    <n v="1"/>
    <n v="1529"/>
    <n v="4"/>
    <s v="Female"/>
    <n v="91"/>
    <n v="2"/>
    <n v="3"/>
    <s v="Healthcare Representative"/>
    <x v="1"/>
    <s v="Single"/>
    <x v="1010"/>
    <n v="21195"/>
    <n v="1"/>
    <s v="Y"/>
    <s v="No"/>
    <n v="19"/>
    <n v="3"/>
    <n v="4"/>
    <n v="80"/>
    <n v="0"/>
    <n v="11"/>
    <n v="3"/>
    <n v="1"/>
    <n v="11"/>
    <n v="8"/>
    <n v="3"/>
    <n v="3"/>
    <s v="5+ yrs"/>
  </r>
  <r>
    <n v="23"/>
    <x v="1"/>
    <s v="Travel_Rarely"/>
    <n v="507"/>
    <x v="1"/>
    <n v="20"/>
    <n v="1"/>
    <s v="Life Sciences"/>
    <n v="1"/>
    <n v="1533"/>
    <n v="1"/>
    <s v="Male"/>
    <n v="97"/>
    <n v="3"/>
    <n v="2"/>
    <s v="Laboratory Technician"/>
    <x v="2"/>
    <s v="Single"/>
    <x v="1011"/>
    <n v="24812"/>
    <n v="0"/>
    <s v="Y"/>
    <s v="No"/>
    <n v="14"/>
    <n v="3"/>
    <n v="2"/>
    <n v="80"/>
    <n v="0"/>
    <n v="5"/>
    <n v="2"/>
    <n v="3"/>
    <n v="4"/>
    <n v="3"/>
    <n v="1"/>
    <n v="2"/>
    <s v="3-5 yrs"/>
  </r>
  <r>
    <n v="40"/>
    <x v="0"/>
    <s v="Travel_Rarely"/>
    <n v="676"/>
    <x v="1"/>
    <n v="9"/>
    <n v="4"/>
    <s v="Life Sciences"/>
    <n v="1"/>
    <n v="1534"/>
    <n v="4"/>
    <s v="Male"/>
    <n v="86"/>
    <n v="3"/>
    <n v="1"/>
    <s v="Laboratory Technician"/>
    <x v="3"/>
    <s v="Single"/>
    <x v="1012"/>
    <n v="21831"/>
    <n v="3"/>
    <s v="Y"/>
    <s v="No"/>
    <n v="14"/>
    <n v="3"/>
    <n v="2"/>
    <n v="80"/>
    <n v="0"/>
    <n v="15"/>
    <n v="3"/>
    <n v="1"/>
    <n v="5"/>
    <n v="4"/>
    <n v="1"/>
    <n v="0"/>
    <s v="3-5 yrs"/>
  </r>
  <r>
    <n v="34"/>
    <x v="1"/>
    <s v="Travel_Rarely"/>
    <n v="971"/>
    <x v="0"/>
    <n v="1"/>
    <n v="3"/>
    <s v="Technical Degree"/>
    <n v="1"/>
    <n v="1535"/>
    <n v="4"/>
    <s v="Male"/>
    <n v="64"/>
    <n v="2"/>
    <n v="3"/>
    <s v="Sales Executive"/>
    <x v="2"/>
    <s v="Married"/>
    <x v="1013"/>
    <n v="12288"/>
    <n v="1"/>
    <s v="Y"/>
    <s v="Yes"/>
    <n v="14"/>
    <n v="3"/>
    <n v="4"/>
    <n v="80"/>
    <n v="0"/>
    <n v="10"/>
    <n v="3"/>
    <n v="3"/>
    <n v="10"/>
    <n v="9"/>
    <n v="8"/>
    <n v="6"/>
    <s v="5+ yrs"/>
  </r>
  <r>
    <n v="31"/>
    <x v="0"/>
    <s v="Travel_Frequently"/>
    <n v="561"/>
    <x v="1"/>
    <n v="3"/>
    <n v="3"/>
    <s v="Life Sciences"/>
    <n v="1"/>
    <n v="1537"/>
    <n v="4"/>
    <s v="Female"/>
    <n v="33"/>
    <n v="3"/>
    <n v="1"/>
    <s v="Research Scientist"/>
    <x v="2"/>
    <s v="Single"/>
    <x v="1014"/>
    <n v="4156"/>
    <n v="1"/>
    <s v="Y"/>
    <s v="No"/>
    <n v="12"/>
    <n v="3"/>
    <n v="1"/>
    <n v="80"/>
    <n v="0"/>
    <n v="7"/>
    <n v="2"/>
    <n v="1"/>
    <n v="7"/>
    <n v="2"/>
    <n v="7"/>
    <n v="7"/>
    <s v="5+ yrs"/>
  </r>
  <r>
    <n v="50"/>
    <x v="1"/>
    <s v="Travel_Frequently"/>
    <n v="333"/>
    <x v="1"/>
    <n v="22"/>
    <n v="5"/>
    <s v="Medical"/>
    <n v="1"/>
    <n v="1539"/>
    <n v="3"/>
    <s v="Male"/>
    <n v="88"/>
    <n v="1"/>
    <n v="4"/>
    <s v="Research Director"/>
    <x v="0"/>
    <s v="Single"/>
    <x v="1015"/>
    <n v="24450"/>
    <n v="1"/>
    <s v="Y"/>
    <s v="Yes"/>
    <n v="13"/>
    <n v="3"/>
    <n v="4"/>
    <n v="80"/>
    <n v="0"/>
    <n v="32"/>
    <n v="2"/>
    <n v="3"/>
    <n v="32"/>
    <n v="6"/>
    <n v="13"/>
    <n v="9"/>
    <s v="5+ yrs"/>
  </r>
  <r>
    <n v="34"/>
    <x v="1"/>
    <s v="Travel_Rarely"/>
    <n v="1440"/>
    <x v="0"/>
    <n v="7"/>
    <n v="2"/>
    <s v="Technical Degree"/>
    <n v="1"/>
    <n v="1541"/>
    <n v="2"/>
    <s v="Male"/>
    <n v="55"/>
    <n v="3"/>
    <n v="1"/>
    <s v="Sales Representative"/>
    <x v="2"/>
    <s v="Married"/>
    <x v="1016"/>
    <n v="4944"/>
    <n v="0"/>
    <s v="Y"/>
    <s v="Yes"/>
    <n v="25"/>
    <n v="4"/>
    <n v="2"/>
    <n v="80"/>
    <n v="1"/>
    <n v="12"/>
    <n v="4"/>
    <n v="3"/>
    <n v="11"/>
    <n v="10"/>
    <n v="5"/>
    <n v="7"/>
    <s v="5+ yrs"/>
  </r>
  <r>
    <n v="42"/>
    <x v="1"/>
    <s v="Travel_Rarely"/>
    <n v="1210"/>
    <x v="1"/>
    <n v="2"/>
    <n v="3"/>
    <s v="Medical"/>
    <n v="1"/>
    <n v="1542"/>
    <n v="3"/>
    <s v="Male"/>
    <n v="68"/>
    <n v="2"/>
    <n v="1"/>
    <s v="Laboratory Technician"/>
    <x v="1"/>
    <s v="Married"/>
    <x v="1017"/>
    <n v="24052"/>
    <n v="4"/>
    <s v="Y"/>
    <s v="No"/>
    <n v="14"/>
    <n v="3"/>
    <n v="2"/>
    <n v="80"/>
    <n v="1"/>
    <n v="4"/>
    <n v="3"/>
    <n v="3"/>
    <n v="1"/>
    <n v="0"/>
    <n v="0"/>
    <n v="0"/>
    <s v="0-2 yrs"/>
  </r>
  <r>
    <n v="37"/>
    <x v="1"/>
    <s v="Travel_Rarely"/>
    <n v="674"/>
    <x v="1"/>
    <n v="13"/>
    <n v="3"/>
    <s v="Medical"/>
    <n v="1"/>
    <n v="1543"/>
    <n v="1"/>
    <s v="Male"/>
    <n v="47"/>
    <n v="3"/>
    <n v="2"/>
    <s v="Research Scientist"/>
    <x v="0"/>
    <s v="Married"/>
    <x v="1018"/>
    <n v="3031"/>
    <n v="1"/>
    <s v="Y"/>
    <s v="No"/>
    <n v="17"/>
    <n v="3"/>
    <n v="1"/>
    <n v="80"/>
    <n v="0"/>
    <n v="10"/>
    <n v="2"/>
    <n v="3"/>
    <n v="10"/>
    <n v="8"/>
    <n v="3"/>
    <n v="7"/>
    <s v="5+ yrs"/>
  </r>
  <r>
    <n v="29"/>
    <x v="1"/>
    <s v="Travel_Rarely"/>
    <n v="441"/>
    <x v="1"/>
    <n v="8"/>
    <n v="1"/>
    <s v="Other"/>
    <n v="1"/>
    <n v="1544"/>
    <n v="3"/>
    <s v="Female"/>
    <n v="39"/>
    <n v="1"/>
    <n v="2"/>
    <s v="Healthcare Representative"/>
    <x v="3"/>
    <s v="Married"/>
    <x v="1019"/>
    <n v="7288"/>
    <n v="3"/>
    <s v="Y"/>
    <s v="No"/>
    <n v="13"/>
    <n v="3"/>
    <n v="3"/>
    <n v="80"/>
    <n v="1"/>
    <n v="9"/>
    <n v="3"/>
    <n v="3"/>
    <n v="7"/>
    <n v="7"/>
    <n v="0"/>
    <n v="7"/>
    <s v="5+ yrs"/>
  </r>
  <r>
    <n v="33"/>
    <x v="1"/>
    <s v="Travel_Rarely"/>
    <n v="575"/>
    <x v="1"/>
    <n v="25"/>
    <n v="3"/>
    <s v="Life Sciences"/>
    <n v="1"/>
    <n v="1545"/>
    <n v="4"/>
    <s v="Male"/>
    <n v="44"/>
    <n v="2"/>
    <n v="2"/>
    <s v="Manufacturing Director"/>
    <x v="1"/>
    <s v="Single"/>
    <x v="1020"/>
    <n v="24152"/>
    <n v="1"/>
    <s v="Y"/>
    <s v="No"/>
    <n v="13"/>
    <n v="3"/>
    <n v="4"/>
    <n v="80"/>
    <n v="0"/>
    <n v="5"/>
    <n v="2"/>
    <n v="3"/>
    <n v="5"/>
    <n v="3"/>
    <n v="0"/>
    <n v="2"/>
    <s v="3-5 yrs"/>
  </r>
  <r>
    <n v="45"/>
    <x v="1"/>
    <s v="Travel_Rarely"/>
    <n v="950"/>
    <x v="1"/>
    <n v="28"/>
    <n v="3"/>
    <s v="Technical Degree"/>
    <n v="1"/>
    <n v="1546"/>
    <n v="4"/>
    <s v="Male"/>
    <n v="97"/>
    <n v="3"/>
    <n v="1"/>
    <s v="Research Scientist"/>
    <x v="0"/>
    <s v="Married"/>
    <x v="685"/>
    <n v="4585"/>
    <n v="4"/>
    <s v="Y"/>
    <s v="No"/>
    <n v="20"/>
    <n v="4"/>
    <n v="4"/>
    <n v="80"/>
    <n v="1"/>
    <n v="8"/>
    <n v="3"/>
    <n v="3"/>
    <n v="5"/>
    <n v="4"/>
    <n v="0"/>
    <n v="3"/>
    <s v="3-5 yrs"/>
  </r>
  <r>
    <n v="42"/>
    <x v="1"/>
    <s v="Travel_Frequently"/>
    <n v="288"/>
    <x v="1"/>
    <n v="2"/>
    <n v="3"/>
    <s v="Life Sciences"/>
    <n v="1"/>
    <n v="1547"/>
    <n v="4"/>
    <s v="Male"/>
    <n v="40"/>
    <n v="3"/>
    <n v="3"/>
    <s v="Healthcare Representative"/>
    <x v="0"/>
    <s v="Married"/>
    <x v="1021"/>
    <n v="18611"/>
    <n v="2"/>
    <s v="Y"/>
    <s v="Yes"/>
    <n v="14"/>
    <n v="3"/>
    <n v="3"/>
    <n v="80"/>
    <n v="1"/>
    <n v="24"/>
    <n v="3"/>
    <n v="1"/>
    <n v="20"/>
    <n v="8"/>
    <n v="13"/>
    <n v="9"/>
    <s v="5+ yrs"/>
  </r>
  <r>
    <n v="40"/>
    <x v="1"/>
    <s v="Travel_Rarely"/>
    <n v="1342"/>
    <x v="0"/>
    <n v="9"/>
    <n v="2"/>
    <s v="Medical"/>
    <n v="1"/>
    <n v="1548"/>
    <n v="1"/>
    <s v="Male"/>
    <n v="47"/>
    <n v="3"/>
    <n v="2"/>
    <s v="Sales Executive"/>
    <x v="3"/>
    <s v="Married"/>
    <x v="67"/>
    <n v="19345"/>
    <n v="0"/>
    <s v="Y"/>
    <s v="No"/>
    <n v="12"/>
    <n v="3"/>
    <n v="4"/>
    <n v="80"/>
    <n v="0"/>
    <n v="9"/>
    <n v="5"/>
    <n v="4"/>
    <n v="8"/>
    <n v="4"/>
    <n v="7"/>
    <n v="1"/>
    <s v="5+ yrs"/>
  </r>
  <r>
    <n v="33"/>
    <x v="1"/>
    <s v="Travel_Rarely"/>
    <n v="589"/>
    <x v="1"/>
    <n v="28"/>
    <n v="4"/>
    <s v="Life Sciences"/>
    <n v="1"/>
    <n v="1549"/>
    <n v="2"/>
    <s v="Male"/>
    <n v="79"/>
    <n v="3"/>
    <n v="2"/>
    <s v="Laboratory Technician"/>
    <x v="2"/>
    <s v="Married"/>
    <x v="1022"/>
    <n v="22949"/>
    <n v="1"/>
    <s v="Y"/>
    <s v="Yes"/>
    <n v="12"/>
    <n v="3"/>
    <n v="2"/>
    <n v="80"/>
    <n v="1"/>
    <n v="15"/>
    <n v="3"/>
    <n v="3"/>
    <n v="15"/>
    <n v="14"/>
    <n v="5"/>
    <n v="7"/>
    <s v="5+ yrs"/>
  </r>
  <r>
    <n v="40"/>
    <x v="1"/>
    <s v="Travel_Rarely"/>
    <n v="898"/>
    <x v="2"/>
    <n v="6"/>
    <n v="2"/>
    <s v="Medical"/>
    <n v="1"/>
    <n v="1550"/>
    <n v="3"/>
    <s v="Male"/>
    <n v="38"/>
    <n v="3"/>
    <n v="4"/>
    <s v="Manager"/>
    <x v="0"/>
    <s v="Single"/>
    <x v="1023"/>
    <n v="17381"/>
    <n v="1"/>
    <s v="Y"/>
    <s v="Yes"/>
    <n v="21"/>
    <n v="4"/>
    <n v="4"/>
    <n v="80"/>
    <n v="0"/>
    <n v="21"/>
    <n v="2"/>
    <n v="3"/>
    <n v="21"/>
    <n v="7"/>
    <n v="7"/>
    <n v="7"/>
    <s v="5+ yrs"/>
  </r>
  <r>
    <n v="24"/>
    <x v="1"/>
    <s v="Travel_Rarely"/>
    <n v="350"/>
    <x v="1"/>
    <n v="21"/>
    <n v="2"/>
    <s v="Technical Degree"/>
    <n v="1"/>
    <n v="1551"/>
    <n v="3"/>
    <s v="Male"/>
    <n v="57"/>
    <n v="2"/>
    <n v="1"/>
    <s v="Laboratory Technician"/>
    <x v="3"/>
    <s v="Divorced"/>
    <x v="1024"/>
    <n v="10036"/>
    <n v="0"/>
    <s v="Y"/>
    <s v="No"/>
    <n v="14"/>
    <n v="3"/>
    <n v="2"/>
    <n v="80"/>
    <n v="3"/>
    <n v="2"/>
    <n v="3"/>
    <n v="3"/>
    <n v="1"/>
    <n v="1"/>
    <n v="0"/>
    <n v="0"/>
    <s v="0-2 yrs"/>
  </r>
  <r>
    <n v="40"/>
    <x v="1"/>
    <s v="Non-Travel"/>
    <n v="1142"/>
    <x v="1"/>
    <n v="8"/>
    <n v="2"/>
    <s v="Life Sciences"/>
    <n v="1"/>
    <n v="1552"/>
    <n v="4"/>
    <s v="Male"/>
    <n v="72"/>
    <n v="3"/>
    <n v="2"/>
    <s v="Healthcare Representative"/>
    <x v="0"/>
    <s v="Divorced"/>
    <x v="1025"/>
    <n v="8841"/>
    <n v="3"/>
    <s v="Y"/>
    <s v="Yes"/>
    <n v="18"/>
    <n v="3"/>
    <n v="3"/>
    <n v="80"/>
    <n v="0"/>
    <n v="8"/>
    <n v="2"/>
    <n v="3"/>
    <n v="2"/>
    <n v="2"/>
    <n v="2"/>
    <n v="2"/>
    <s v="0-2 yrs"/>
  </r>
  <r>
    <n v="45"/>
    <x v="1"/>
    <s v="Travel_Rarely"/>
    <n v="538"/>
    <x v="1"/>
    <n v="1"/>
    <n v="4"/>
    <s v="Technical Degree"/>
    <n v="1"/>
    <n v="1553"/>
    <n v="1"/>
    <s v="Male"/>
    <n v="66"/>
    <n v="3"/>
    <n v="3"/>
    <s v="Healthcare Representative"/>
    <x v="1"/>
    <s v="Divorced"/>
    <x v="1026"/>
    <n v="20933"/>
    <n v="1"/>
    <s v="Y"/>
    <s v="No"/>
    <n v="12"/>
    <n v="3"/>
    <n v="1"/>
    <n v="80"/>
    <n v="3"/>
    <n v="10"/>
    <n v="4"/>
    <n v="3"/>
    <n v="10"/>
    <n v="8"/>
    <n v="7"/>
    <n v="7"/>
    <s v="5+ yrs"/>
  </r>
  <r>
    <n v="35"/>
    <x v="1"/>
    <s v="Travel_Rarely"/>
    <n v="1402"/>
    <x v="0"/>
    <n v="28"/>
    <n v="4"/>
    <s v="Life Sciences"/>
    <n v="1"/>
    <n v="1554"/>
    <n v="2"/>
    <s v="Female"/>
    <n v="98"/>
    <n v="2"/>
    <n v="1"/>
    <s v="Sales Representative"/>
    <x v="2"/>
    <s v="Married"/>
    <x v="1027"/>
    <n v="26204"/>
    <n v="0"/>
    <s v="Y"/>
    <s v="No"/>
    <n v="23"/>
    <n v="4"/>
    <n v="1"/>
    <n v="80"/>
    <n v="2"/>
    <n v="6"/>
    <n v="5"/>
    <n v="3"/>
    <n v="5"/>
    <n v="3"/>
    <n v="4"/>
    <n v="2"/>
    <s v="3-5 yrs"/>
  </r>
  <r>
    <n v="32"/>
    <x v="1"/>
    <s v="Travel_Rarely"/>
    <n v="824"/>
    <x v="1"/>
    <n v="5"/>
    <n v="2"/>
    <s v="Life Sciences"/>
    <n v="1"/>
    <n v="1555"/>
    <n v="4"/>
    <s v="Female"/>
    <n v="67"/>
    <n v="2"/>
    <n v="2"/>
    <s v="Research Scientist"/>
    <x v="1"/>
    <s v="Married"/>
    <x v="1028"/>
    <n v="15624"/>
    <n v="3"/>
    <s v="Y"/>
    <s v="No"/>
    <n v="12"/>
    <n v="3"/>
    <n v="1"/>
    <n v="80"/>
    <n v="1"/>
    <n v="12"/>
    <n v="2"/>
    <n v="3"/>
    <n v="7"/>
    <n v="1"/>
    <n v="2"/>
    <n v="5"/>
    <s v="5+ yrs"/>
  </r>
  <r>
    <n v="36"/>
    <x v="1"/>
    <s v="Travel_Rarely"/>
    <n v="1157"/>
    <x v="0"/>
    <n v="2"/>
    <n v="4"/>
    <s v="Life Sciences"/>
    <n v="1"/>
    <n v="1556"/>
    <n v="3"/>
    <s v="Male"/>
    <n v="70"/>
    <n v="3"/>
    <n v="1"/>
    <s v="Sales Representative"/>
    <x v="0"/>
    <s v="Single"/>
    <x v="1029"/>
    <n v="17001"/>
    <n v="3"/>
    <s v="Y"/>
    <s v="Yes"/>
    <n v="21"/>
    <n v="4"/>
    <n v="4"/>
    <n v="80"/>
    <n v="0"/>
    <n v="7"/>
    <n v="3"/>
    <n v="2"/>
    <n v="3"/>
    <n v="2"/>
    <n v="1"/>
    <n v="2"/>
    <s v="3-5 yrs"/>
  </r>
  <r>
    <n v="48"/>
    <x v="1"/>
    <s v="Travel_Rarely"/>
    <n v="492"/>
    <x v="0"/>
    <n v="16"/>
    <n v="4"/>
    <s v="Life Sciences"/>
    <n v="1"/>
    <n v="1557"/>
    <n v="3"/>
    <s v="Female"/>
    <n v="96"/>
    <n v="3"/>
    <n v="2"/>
    <s v="Sales Executive"/>
    <x v="2"/>
    <s v="Divorced"/>
    <x v="1030"/>
    <n v="13693"/>
    <n v="8"/>
    <s v="Y"/>
    <s v="No"/>
    <n v="14"/>
    <n v="3"/>
    <n v="3"/>
    <n v="80"/>
    <n v="1"/>
    <n v="18"/>
    <n v="2"/>
    <n v="3"/>
    <n v="8"/>
    <n v="7"/>
    <n v="7"/>
    <n v="7"/>
    <s v="5+ yrs"/>
  </r>
  <r>
    <n v="29"/>
    <x v="1"/>
    <s v="Travel_Rarely"/>
    <n v="598"/>
    <x v="1"/>
    <n v="9"/>
    <n v="3"/>
    <s v="Life Sciences"/>
    <n v="1"/>
    <n v="1558"/>
    <n v="3"/>
    <s v="Male"/>
    <n v="91"/>
    <n v="4"/>
    <n v="1"/>
    <s v="Research Scientist"/>
    <x v="2"/>
    <s v="Married"/>
    <x v="163"/>
    <n v="22376"/>
    <n v="6"/>
    <s v="Y"/>
    <s v="No"/>
    <n v="18"/>
    <n v="3"/>
    <n v="1"/>
    <n v="80"/>
    <n v="2"/>
    <n v="5"/>
    <n v="2"/>
    <n v="2"/>
    <n v="1"/>
    <n v="0"/>
    <n v="0"/>
    <n v="0"/>
    <s v="0-2 yrs"/>
  </r>
  <r>
    <n v="33"/>
    <x v="1"/>
    <s v="Travel_Rarely"/>
    <n v="1242"/>
    <x v="0"/>
    <n v="8"/>
    <n v="4"/>
    <s v="Life Sciences"/>
    <n v="1"/>
    <n v="1560"/>
    <n v="1"/>
    <s v="Male"/>
    <n v="46"/>
    <n v="3"/>
    <n v="2"/>
    <s v="Sales Executive"/>
    <x v="3"/>
    <s v="Married"/>
    <x v="1031"/>
    <n v="10589"/>
    <n v="2"/>
    <s v="Y"/>
    <s v="No"/>
    <n v="13"/>
    <n v="3"/>
    <n v="4"/>
    <n v="80"/>
    <n v="1"/>
    <n v="8"/>
    <n v="6"/>
    <n v="1"/>
    <n v="2"/>
    <n v="2"/>
    <n v="2"/>
    <n v="2"/>
    <s v="0-2 yrs"/>
  </r>
  <r>
    <n v="30"/>
    <x v="0"/>
    <s v="Travel_Rarely"/>
    <n v="740"/>
    <x v="0"/>
    <n v="1"/>
    <n v="3"/>
    <s v="Life Sciences"/>
    <n v="1"/>
    <n v="1562"/>
    <n v="2"/>
    <s v="Male"/>
    <n v="64"/>
    <n v="2"/>
    <n v="2"/>
    <s v="Sales Executive"/>
    <x v="3"/>
    <s v="Married"/>
    <x v="1032"/>
    <n v="5323"/>
    <n v="1"/>
    <s v="Y"/>
    <s v="No"/>
    <n v="11"/>
    <n v="3"/>
    <n v="4"/>
    <n v="80"/>
    <n v="1"/>
    <n v="10"/>
    <n v="4"/>
    <n v="3"/>
    <n v="10"/>
    <n v="8"/>
    <n v="6"/>
    <n v="7"/>
    <s v="5+ yrs"/>
  </r>
  <r>
    <n v="38"/>
    <x v="1"/>
    <s v="Travel_Frequently"/>
    <n v="888"/>
    <x v="2"/>
    <n v="10"/>
    <n v="4"/>
    <s v="Human Resources"/>
    <n v="1"/>
    <n v="1563"/>
    <n v="3"/>
    <s v="Male"/>
    <n v="71"/>
    <n v="3"/>
    <n v="2"/>
    <s v="Human Resources"/>
    <x v="2"/>
    <s v="Married"/>
    <x v="1033"/>
    <n v="14814"/>
    <n v="3"/>
    <s v="Y"/>
    <s v="No"/>
    <n v="11"/>
    <n v="3"/>
    <n v="3"/>
    <n v="80"/>
    <n v="0"/>
    <n v="10"/>
    <n v="2"/>
    <n v="3"/>
    <n v="6"/>
    <n v="3"/>
    <n v="1"/>
    <n v="2"/>
    <s v="5+ yrs"/>
  </r>
  <r>
    <n v="35"/>
    <x v="1"/>
    <s v="Travel_Rarely"/>
    <n v="992"/>
    <x v="1"/>
    <n v="1"/>
    <n v="3"/>
    <s v="Medical"/>
    <n v="1"/>
    <n v="1564"/>
    <n v="4"/>
    <s v="Male"/>
    <n v="68"/>
    <n v="2"/>
    <n v="1"/>
    <s v="Laboratory Technician"/>
    <x v="3"/>
    <s v="Single"/>
    <x v="533"/>
    <n v="21731"/>
    <n v="1"/>
    <s v="Y"/>
    <s v="No"/>
    <n v="19"/>
    <n v="3"/>
    <n v="2"/>
    <n v="80"/>
    <n v="0"/>
    <n v="3"/>
    <n v="3"/>
    <n v="3"/>
    <n v="3"/>
    <n v="0"/>
    <n v="1"/>
    <n v="2"/>
    <s v="3-5 yrs"/>
  </r>
  <r>
    <n v="30"/>
    <x v="1"/>
    <s v="Travel_Rarely"/>
    <n v="1288"/>
    <x v="0"/>
    <n v="29"/>
    <n v="4"/>
    <s v="Technical Degree"/>
    <n v="1"/>
    <n v="1568"/>
    <n v="3"/>
    <s v="Male"/>
    <n v="33"/>
    <n v="3"/>
    <n v="3"/>
    <s v="Sales Executive"/>
    <x v="1"/>
    <s v="Married"/>
    <x v="1034"/>
    <n v="17799"/>
    <n v="3"/>
    <s v="Y"/>
    <s v="No"/>
    <n v="12"/>
    <n v="3"/>
    <n v="2"/>
    <n v="80"/>
    <n v="1"/>
    <n v="9"/>
    <n v="3"/>
    <n v="3"/>
    <n v="4"/>
    <n v="2"/>
    <n v="1"/>
    <n v="3"/>
    <s v="3-5 yrs"/>
  </r>
  <r>
    <n v="35"/>
    <x v="0"/>
    <s v="Travel_Rarely"/>
    <n v="104"/>
    <x v="1"/>
    <n v="2"/>
    <n v="3"/>
    <s v="Life Sciences"/>
    <n v="1"/>
    <n v="1569"/>
    <n v="1"/>
    <s v="Female"/>
    <n v="69"/>
    <n v="3"/>
    <n v="1"/>
    <s v="Laboratory Technician"/>
    <x v="3"/>
    <s v="Divorced"/>
    <x v="1035"/>
    <n v="26619"/>
    <n v="1"/>
    <s v="Y"/>
    <s v="Yes"/>
    <n v="12"/>
    <n v="3"/>
    <n v="4"/>
    <n v="80"/>
    <n v="1"/>
    <n v="1"/>
    <n v="2"/>
    <n v="3"/>
    <n v="1"/>
    <n v="0"/>
    <n v="0"/>
    <n v="0"/>
    <s v="0-2 yrs"/>
  </r>
  <r>
    <n v="53"/>
    <x v="0"/>
    <s v="Travel_Rarely"/>
    <n v="607"/>
    <x v="1"/>
    <n v="2"/>
    <n v="5"/>
    <s v="Technical Degree"/>
    <n v="1"/>
    <n v="1572"/>
    <n v="3"/>
    <s v="Female"/>
    <n v="78"/>
    <n v="2"/>
    <n v="3"/>
    <s v="Manufacturing Director"/>
    <x v="0"/>
    <s v="Married"/>
    <x v="1036"/>
    <n v="14618"/>
    <n v="0"/>
    <s v="Y"/>
    <s v="No"/>
    <n v="16"/>
    <n v="3"/>
    <n v="2"/>
    <n v="80"/>
    <n v="1"/>
    <n v="34"/>
    <n v="4"/>
    <n v="3"/>
    <n v="33"/>
    <n v="7"/>
    <n v="1"/>
    <n v="9"/>
    <s v="5+ yrs"/>
  </r>
  <r>
    <n v="38"/>
    <x v="0"/>
    <s v="Travel_Rarely"/>
    <n v="903"/>
    <x v="1"/>
    <n v="2"/>
    <n v="3"/>
    <s v="Medical"/>
    <n v="1"/>
    <n v="1573"/>
    <n v="3"/>
    <s v="Male"/>
    <n v="81"/>
    <n v="3"/>
    <n v="2"/>
    <s v="Manufacturing Director"/>
    <x v="1"/>
    <s v="Married"/>
    <x v="1037"/>
    <n v="7653"/>
    <n v="4"/>
    <s v="Y"/>
    <s v="No"/>
    <n v="11"/>
    <n v="3"/>
    <n v="1"/>
    <n v="80"/>
    <n v="2"/>
    <n v="7"/>
    <n v="2"/>
    <n v="3"/>
    <n v="5"/>
    <n v="2"/>
    <n v="1"/>
    <n v="4"/>
    <s v="3-5 yrs"/>
  </r>
  <r>
    <n v="32"/>
    <x v="1"/>
    <s v="Non-Travel"/>
    <n v="1200"/>
    <x v="1"/>
    <n v="1"/>
    <n v="4"/>
    <s v="Technical Degree"/>
    <n v="1"/>
    <n v="1574"/>
    <n v="4"/>
    <s v="Male"/>
    <n v="62"/>
    <n v="3"/>
    <n v="2"/>
    <s v="Research Scientist"/>
    <x v="3"/>
    <s v="Married"/>
    <x v="1038"/>
    <n v="25174"/>
    <n v="4"/>
    <s v="Y"/>
    <s v="No"/>
    <n v="14"/>
    <n v="3"/>
    <n v="2"/>
    <n v="80"/>
    <n v="1"/>
    <n v="9"/>
    <n v="3"/>
    <n v="2"/>
    <n v="6"/>
    <n v="5"/>
    <n v="1"/>
    <n v="2"/>
    <s v="5+ yrs"/>
  </r>
  <r>
    <n v="48"/>
    <x v="1"/>
    <s v="Travel_Rarely"/>
    <n v="1108"/>
    <x v="1"/>
    <n v="15"/>
    <n v="4"/>
    <s v="Other"/>
    <n v="1"/>
    <n v="1576"/>
    <n v="3"/>
    <s v="Female"/>
    <n v="65"/>
    <n v="3"/>
    <n v="1"/>
    <s v="Research Scientist"/>
    <x v="3"/>
    <s v="Married"/>
    <x v="1039"/>
    <n v="16530"/>
    <n v="8"/>
    <s v="Y"/>
    <s v="No"/>
    <n v="12"/>
    <n v="3"/>
    <n v="4"/>
    <n v="80"/>
    <n v="1"/>
    <n v="10"/>
    <n v="3"/>
    <n v="2"/>
    <n v="8"/>
    <n v="2"/>
    <n v="7"/>
    <n v="6"/>
    <s v="5+ yrs"/>
  </r>
  <r>
    <n v="34"/>
    <x v="1"/>
    <s v="Travel_Rarely"/>
    <n v="479"/>
    <x v="1"/>
    <n v="7"/>
    <n v="4"/>
    <s v="Medical"/>
    <n v="1"/>
    <n v="1577"/>
    <n v="1"/>
    <s v="Male"/>
    <n v="35"/>
    <n v="3"/>
    <n v="1"/>
    <s v="Research Scientist"/>
    <x v="0"/>
    <s v="Single"/>
    <x v="1040"/>
    <n v="22061"/>
    <n v="1"/>
    <s v="Y"/>
    <s v="No"/>
    <n v="13"/>
    <n v="3"/>
    <n v="3"/>
    <n v="80"/>
    <n v="0"/>
    <n v="1"/>
    <n v="4"/>
    <n v="1"/>
    <n v="1"/>
    <n v="0"/>
    <n v="0"/>
    <n v="0"/>
    <s v="0-2 yrs"/>
  </r>
  <r>
    <n v="55"/>
    <x v="1"/>
    <s v="Travel_Rarely"/>
    <n v="685"/>
    <x v="0"/>
    <n v="26"/>
    <n v="5"/>
    <s v="Marketing"/>
    <n v="1"/>
    <n v="1578"/>
    <n v="3"/>
    <s v="Male"/>
    <n v="60"/>
    <n v="2"/>
    <n v="5"/>
    <s v="Manager"/>
    <x v="0"/>
    <s v="Married"/>
    <x v="1041"/>
    <n v="23037"/>
    <n v="1"/>
    <s v="Y"/>
    <s v="No"/>
    <n v="21"/>
    <n v="4"/>
    <n v="3"/>
    <n v="80"/>
    <n v="1"/>
    <n v="36"/>
    <n v="3"/>
    <n v="3"/>
    <n v="36"/>
    <n v="6"/>
    <n v="2"/>
    <n v="13"/>
    <s v="5+ yrs"/>
  </r>
  <r>
    <n v="34"/>
    <x v="1"/>
    <s v="Travel_Rarely"/>
    <n v="1351"/>
    <x v="1"/>
    <n v="1"/>
    <n v="4"/>
    <s v="Life Sciences"/>
    <n v="1"/>
    <n v="1580"/>
    <n v="2"/>
    <s v="Male"/>
    <n v="45"/>
    <n v="3"/>
    <n v="2"/>
    <s v="Research Scientist"/>
    <x v="0"/>
    <s v="Married"/>
    <x v="299"/>
    <n v="13008"/>
    <n v="9"/>
    <s v="Y"/>
    <s v="No"/>
    <n v="17"/>
    <n v="3"/>
    <n v="2"/>
    <n v="80"/>
    <n v="1"/>
    <n v="9"/>
    <n v="3"/>
    <n v="2"/>
    <n v="2"/>
    <n v="2"/>
    <n v="2"/>
    <n v="1"/>
    <s v="0-2 yrs"/>
  </r>
  <r>
    <n v="26"/>
    <x v="1"/>
    <s v="Travel_Rarely"/>
    <n v="474"/>
    <x v="1"/>
    <n v="3"/>
    <n v="3"/>
    <s v="Life Sciences"/>
    <n v="1"/>
    <n v="1581"/>
    <n v="1"/>
    <s v="Female"/>
    <n v="89"/>
    <n v="3"/>
    <n v="1"/>
    <s v="Research Scientist"/>
    <x v="0"/>
    <s v="Married"/>
    <x v="1042"/>
    <n v="11133"/>
    <n v="1"/>
    <s v="Y"/>
    <s v="No"/>
    <n v="21"/>
    <n v="4"/>
    <n v="1"/>
    <n v="80"/>
    <n v="0"/>
    <n v="1"/>
    <n v="5"/>
    <n v="3"/>
    <n v="1"/>
    <n v="0"/>
    <n v="0"/>
    <n v="0"/>
    <s v="0-2 yrs"/>
  </r>
  <r>
    <n v="38"/>
    <x v="1"/>
    <s v="Travel_Rarely"/>
    <n v="1245"/>
    <x v="0"/>
    <n v="14"/>
    <n v="3"/>
    <s v="Life Sciences"/>
    <n v="1"/>
    <n v="1582"/>
    <n v="3"/>
    <s v="Male"/>
    <n v="80"/>
    <n v="3"/>
    <n v="2"/>
    <s v="Sales Executive"/>
    <x v="1"/>
    <s v="Married"/>
    <x v="1043"/>
    <n v="12355"/>
    <n v="0"/>
    <s v="Y"/>
    <s v="No"/>
    <n v="11"/>
    <n v="3"/>
    <n v="4"/>
    <n v="80"/>
    <n v="1"/>
    <n v="10"/>
    <n v="3"/>
    <n v="3"/>
    <n v="9"/>
    <n v="8"/>
    <n v="7"/>
    <n v="7"/>
    <s v="5+ yrs"/>
  </r>
  <r>
    <n v="38"/>
    <x v="1"/>
    <s v="Travel_Rarely"/>
    <n v="437"/>
    <x v="0"/>
    <n v="16"/>
    <n v="3"/>
    <s v="Life Sciences"/>
    <n v="1"/>
    <n v="1583"/>
    <n v="2"/>
    <s v="Female"/>
    <n v="90"/>
    <n v="3"/>
    <n v="2"/>
    <s v="Sales Executive"/>
    <x v="1"/>
    <s v="Single"/>
    <x v="1044"/>
    <n v="16379"/>
    <n v="2"/>
    <s v="Y"/>
    <s v="No"/>
    <n v="12"/>
    <n v="3"/>
    <n v="2"/>
    <n v="80"/>
    <n v="0"/>
    <n v="8"/>
    <n v="5"/>
    <n v="4"/>
    <n v="3"/>
    <n v="2"/>
    <n v="1"/>
    <n v="2"/>
    <s v="3-5 yrs"/>
  </r>
  <r>
    <n v="36"/>
    <x v="1"/>
    <s v="Travel_Rarely"/>
    <n v="884"/>
    <x v="0"/>
    <n v="1"/>
    <n v="4"/>
    <s v="Life Sciences"/>
    <n v="1"/>
    <n v="1585"/>
    <n v="2"/>
    <s v="Female"/>
    <n v="73"/>
    <n v="3"/>
    <n v="2"/>
    <s v="Sales Executive"/>
    <x v="2"/>
    <s v="Single"/>
    <x v="1045"/>
    <n v="21447"/>
    <n v="6"/>
    <s v="Y"/>
    <s v="No"/>
    <n v="13"/>
    <n v="3"/>
    <n v="1"/>
    <n v="80"/>
    <n v="0"/>
    <n v="15"/>
    <n v="5"/>
    <n v="3"/>
    <n v="1"/>
    <n v="0"/>
    <n v="0"/>
    <n v="0"/>
    <s v="0-2 yrs"/>
  </r>
  <r>
    <n v="29"/>
    <x v="1"/>
    <s v="Travel_Rarely"/>
    <n v="1370"/>
    <x v="1"/>
    <n v="3"/>
    <n v="1"/>
    <s v="Medical"/>
    <n v="1"/>
    <n v="1586"/>
    <n v="2"/>
    <s v="Male"/>
    <n v="87"/>
    <n v="3"/>
    <n v="1"/>
    <s v="Laboratory Technician"/>
    <x v="3"/>
    <s v="Single"/>
    <x v="1046"/>
    <n v="16213"/>
    <n v="1"/>
    <s v="Y"/>
    <s v="Yes"/>
    <n v="18"/>
    <n v="3"/>
    <n v="4"/>
    <n v="80"/>
    <n v="0"/>
    <n v="10"/>
    <n v="3"/>
    <n v="3"/>
    <n v="10"/>
    <n v="9"/>
    <n v="1"/>
    <n v="5"/>
    <s v="5+ yrs"/>
  </r>
  <r>
    <n v="35"/>
    <x v="1"/>
    <s v="Travel_Rarely"/>
    <n v="670"/>
    <x v="1"/>
    <n v="10"/>
    <n v="4"/>
    <s v="Medical"/>
    <n v="1"/>
    <n v="1587"/>
    <n v="1"/>
    <s v="Female"/>
    <n v="51"/>
    <n v="3"/>
    <n v="2"/>
    <s v="Healthcare Representative"/>
    <x v="2"/>
    <s v="Single"/>
    <x v="528"/>
    <n v="4223"/>
    <n v="3"/>
    <s v="Y"/>
    <s v="Yes"/>
    <n v="16"/>
    <n v="3"/>
    <n v="3"/>
    <n v="80"/>
    <n v="0"/>
    <n v="10"/>
    <n v="4"/>
    <n v="3"/>
    <n v="5"/>
    <n v="2"/>
    <n v="0"/>
    <n v="4"/>
    <s v="3-5 yrs"/>
  </r>
  <r>
    <n v="39"/>
    <x v="1"/>
    <s v="Travel_Rarely"/>
    <n v="1462"/>
    <x v="0"/>
    <n v="6"/>
    <n v="3"/>
    <s v="Medical"/>
    <n v="1"/>
    <n v="1588"/>
    <n v="4"/>
    <s v="Male"/>
    <n v="38"/>
    <n v="4"/>
    <n v="3"/>
    <s v="Sales Executive"/>
    <x v="2"/>
    <s v="Married"/>
    <x v="1047"/>
    <n v="4658"/>
    <n v="2"/>
    <s v="Y"/>
    <s v="No"/>
    <n v="11"/>
    <n v="3"/>
    <n v="1"/>
    <n v="80"/>
    <n v="1"/>
    <n v="11"/>
    <n v="3"/>
    <n v="3"/>
    <n v="7"/>
    <n v="6"/>
    <n v="7"/>
    <n v="6"/>
    <s v="5+ yrs"/>
  </r>
  <r>
    <n v="29"/>
    <x v="1"/>
    <s v="Travel_Frequently"/>
    <n v="995"/>
    <x v="1"/>
    <n v="2"/>
    <n v="1"/>
    <s v="Life Sciences"/>
    <n v="1"/>
    <n v="1590"/>
    <n v="1"/>
    <s v="Male"/>
    <n v="87"/>
    <n v="3"/>
    <n v="2"/>
    <s v="Healthcare Representative"/>
    <x v="0"/>
    <s v="Divorced"/>
    <x v="1048"/>
    <n v="24483"/>
    <n v="1"/>
    <s v="Y"/>
    <s v="No"/>
    <n v="19"/>
    <n v="3"/>
    <n v="4"/>
    <n v="80"/>
    <n v="1"/>
    <n v="6"/>
    <n v="0"/>
    <n v="4"/>
    <n v="6"/>
    <n v="4"/>
    <n v="1"/>
    <n v="3"/>
    <s v="5+ yrs"/>
  </r>
  <r>
    <n v="50"/>
    <x v="1"/>
    <s v="Travel_Rarely"/>
    <n v="264"/>
    <x v="0"/>
    <n v="9"/>
    <n v="3"/>
    <s v="Marketing"/>
    <n v="1"/>
    <n v="1591"/>
    <n v="3"/>
    <s v="Male"/>
    <n v="59"/>
    <n v="3"/>
    <n v="5"/>
    <s v="Manager"/>
    <x v="2"/>
    <s v="Married"/>
    <x v="1049"/>
    <n v="19519"/>
    <n v="4"/>
    <s v="Y"/>
    <s v="Yes"/>
    <n v="16"/>
    <n v="3"/>
    <n v="3"/>
    <n v="80"/>
    <n v="1"/>
    <n v="27"/>
    <n v="2"/>
    <n v="3"/>
    <n v="1"/>
    <n v="0"/>
    <n v="0"/>
    <n v="0"/>
    <s v="0-2 yrs"/>
  </r>
  <r>
    <n v="23"/>
    <x v="1"/>
    <s v="Travel_Rarely"/>
    <n v="977"/>
    <x v="1"/>
    <n v="10"/>
    <n v="3"/>
    <s v="Technical Degree"/>
    <n v="1"/>
    <n v="1592"/>
    <n v="4"/>
    <s v="Male"/>
    <n v="45"/>
    <n v="4"/>
    <n v="1"/>
    <s v="Research Scientist"/>
    <x v="2"/>
    <s v="Married"/>
    <x v="97"/>
    <n v="12826"/>
    <n v="2"/>
    <s v="Y"/>
    <s v="No"/>
    <n v="16"/>
    <n v="3"/>
    <n v="4"/>
    <n v="80"/>
    <n v="1"/>
    <n v="4"/>
    <n v="2"/>
    <n v="3"/>
    <n v="2"/>
    <n v="2"/>
    <n v="2"/>
    <n v="2"/>
    <s v="0-2 yrs"/>
  </r>
  <r>
    <n v="36"/>
    <x v="1"/>
    <s v="Travel_Frequently"/>
    <n v="1302"/>
    <x v="1"/>
    <n v="6"/>
    <n v="4"/>
    <s v="Life Sciences"/>
    <n v="1"/>
    <n v="1594"/>
    <n v="1"/>
    <s v="Male"/>
    <n v="80"/>
    <n v="4"/>
    <n v="2"/>
    <s v="Laboratory Technician"/>
    <x v="3"/>
    <s v="Married"/>
    <x v="622"/>
    <n v="19711"/>
    <n v="3"/>
    <s v="Y"/>
    <s v="Yes"/>
    <n v="13"/>
    <n v="3"/>
    <n v="4"/>
    <n v="80"/>
    <n v="1"/>
    <n v="9"/>
    <n v="3"/>
    <n v="3"/>
    <n v="3"/>
    <n v="2"/>
    <n v="0"/>
    <n v="2"/>
    <s v="3-5 yrs"/>
  </r>
  <r>
    <n v="42"/>
    <x v="1"/>
    <s v="Travel_Rarely"/>
    <n v="1059"/>
    <x v="1"/>
    <n v="9"/>
    <n v="2"/>
    <s v="Other"/>
    <n v="1"/>
    <n v="1595"/>
    <n v="4"/>
    <s v="Male"/>
    <n v="93"/>
    <n v="2"/>
    <n v="5"/>
    <s v="Manager"/>
    <x v="0"/>
    <s v="Single"/>
    <x v="1050"/>
    <n v="26362"/>
    <n v="8"/>
    <s v="Y"/>
    <s v="No"/>
    <n v="22"/>
    <n v="4"/>
    <n v="4"/>
    <n v="80"/>
    <n v="0"/>
    <n v="24"/>
    <n v="2"/>
    <n v="3"/>
    <n v="1"/>
    <n v="0"/>
    <n v="0"/>
    <n v="1"/>
    <s v="0-2 yrs"/>
  </r>
  <r>
    <n v="35"/>
    <x v="1"/>
    <s v="Travel_Rarely"/>
    <n v="750"/>
    <x v="1"/>
    <n v="28"/>
    <n v="3"/>
    <s v="Life Sciences"/>
    <n v="1"/>
    <n v="1596"/>
    <n v="2"/>
    <s v="Male"/>
    <n v="46"/>
    <n v="4"/>
    <n v="2"/>
    <s v="Laboratory Technician"/>
    <x v="2"/>
    <s v="Married"/>
    <x v="21"/>
    <n v="25348"/>
    <n v="1"/>
    <s v="Y"/>
    <s v="No"/>
    <n v="17"/>
    <n v="3"/>
    <n v="4"/>
    <n v="80"/>
    <n v="2"/>
    <n v="10"/>
    <n v="3"/>
    <n v="2"/>
    <n v="10"/>
    <n v="9"/>
    <n v="6"/>
    <n v="8"/>
    <s v="5+ yrs"/>
  </r>
  <r>
    <n v="34"/>
    <x v="1"/>
    <s v="Travel_Frequently"/>
    <n v="653"/>
    <x v="1"/>
    <n v="10"/>
    <n v="4"/>
    <s v="Technical Degree"/>
    <n v="1"/>
    <n v="1597"/>
    <n v="4"/>
    <s v="Male"/>
    <n v="92"/>
    <n v="2"/>
    <n v="2"/>
    <s v="Healthcare Representative"/>
    <x v="2"/>
    <s v="Married"/>
    <x v="1051"/>
    <n v="15332"/>
    <n v="1"/>
    <s v="Y"/>
    <s v="No"/>
    <n v="14"/>
    <n v="3"/>
    <n v="2"/>
    <n v="80"/>
    <n v="1"/>
    <n v="8"/>
    <n v="3"/>
    <n v="2"/>
    <n v="8"/>
    <n v="2"/>
    <n v="7"/>
    <n v="7"/>
    <s v="5+ yrs"/>
  </r>
  <r>
    <n v="40"/>
    <x v="1"/>
    <s v="Travel_Rarely"/>
    <n v="118"/>
    <x v="0"/>
    <n v="14"/>
    <n v="2"/>
    <s v="Life Sciences"/>
    <n v="1"/>
    <n v="1598"/>
    <n v="4"/>
    <s v="Female"/>
    <n v="84"/>
    <n v="3"/>
    <n v="2"/>
    <s v="Sales Executive"/>
    <x v="3"/>
    <s v="Married"/>
    <x v="912"/>
    <n v="11262"/>
    <n v="1"/>
    <s v="Y"/>
    <s v="No"/>
    <n v="15"/>
    <n v="3"/>
    <n v="3"/>
    <n v="80"/>
    <n v="1"/>
    <n v="5"/>
    <n v="2"/>
    <n v="3"/>
    <n v="5"/>
    <n v="4"/>
    <n v="1"/>
    <n v="2"/>
    <s v="3-5 yrs"/>
  </r>
  <r>
    <n v="43"/>
    <x v="1"/>
    <s v="Travel_Rarely"/>
    <n v="990"/>
    <x v="1"/>
    <n v="27"/>
    <n v="3"/>
    <s v="Technical Degree"/>
    <n v="1"/>
    <n v="1599"/>
    <n v="4"/>
    <s v="Male"/>
    <n v="87"/>
    <n v="4"/>
    <n v="1"/>
    <s v="Laboratory Technician"/>
    <x v="1"/>
    <s v="Divorced"/>
    <x v="204"/>
    <n v="5855"/>
    <n v="5"/>
    <s v="Y"/>
    <s v="No"/>
    <n v="12"/>
    <n v="3"/>
    <n v="3"/>
    <n v="80"/>
    <n v="1"/>
    <n v="8"/>
    <n v="0"/>
    <n v="3"/>
    <n v="6"/>
    <n v="4"/>
    <n v="0"/>
    <n v="2"/>
    <s v="5+ yrs"/>
  </r>
  <r>
    <n v="35"/>
    <x v="1"/>
    <s v="Travel_Rarely"/>
    <n v="1349"/>
    <x v="1"/>
    <n v="7"/>
    <n v="2"/>
    <s v="Life Sciences"/>
    <n v="1"/>
    <n v="1601"/>
    <n v="3"/>
    <s v="Male"/>
    <n v="63"/>
    <n v="2"/>
    <n v="1"/>
    <s v="Laboratory Technician"/>
    <x v="0"/>
    <s v="Married"/>
    <x v="1052"/>
    <n v="7713"/>
    <n v="1"/>
    <s v="Y"/>
    <s v="No"/>
    <n v="18"/>
    <n v="3"/>
    <n v="4"/>
    <n v="80"/>
    <n v="1"/>
    <n v="1"/>
    <n v="5"/>
    <n v="2"/>
    <n v="1"/>
    <n v="0"/>
    <n v="0"/>
    <n v="1"/>
    <s v="0-2 yrs"/>
  </r>
  <r>
    <n v="46"/>
    <x v="1"/>
    <s v="Travel_Rarely"/>
    <n v="563"/>
    <x v="0"/>
    <n v="1"/>
    <n v="4"/>
    <s v="Life Sciences"/>
    <n v="1"/>
    <n v="1602"/>
    <n v="4"/>
    <s v="Male"/>
    <n v="56"/>
    <n v="4"/>
    <n v="4"/>
    <s v="Manager"/>
    <x v="3"/>
    <s v="Single"/>
    <x v="1053"/>
    <n v="3156"/>
    <n v="1"/>
    <s v="Y"/>
    <s v="No"/>
    <n v="15"/>
    <n v="3"/>
    <n v="2"/>
    <n v="80"/>
    <n v="0"/>
    <n v="27"/>
    <n v="5"/>
    <n v="1"/>
    <n v="26"/>
    <n v="0"/>
    <n v="0"/>
    <n v="12"/>
    <s v="5+ yrs"/>
  </r>
  <r>
    <n v="28"/>
    <x v="0"/>
    <s v="Travel_Rarely"/>
    <n v="329"/>
    <x v="1"/>
    <n v="24"/>
    <n v="3"/>
    <s v="Medical"/>
    <n v="1"/>
    <n v="1604"/>
    <n v="3"/>
    <s v="Male"/>
    <n v="51"/>
    <n v="3"/>
    <n v="1"/>
    <s v="Laboratory Technician"/>
    <x v="1"/>
    <s v="Married"/>
    <x v="1054"/>
    <n v="7324"/>
    <n v="1"/>
    <s v="Y"/>
    <s v="Yes"/>
    <n v="17"/>
    <n v="3"/>
    <n v="3"/>
    <n v="80"/>
    <n v="3"/>
    <n v="1"/>
    <n v="3"/>
    <n v="3"/>
    <n v="1"/>
    <n v="1"/>
    <n v="0"/>
    <n v="0"/>
    <s v="0-2 yrs"/>
  </r>
  <r>
    <n v="22"/>
    <x v="1"/>
    <s v="Non-Travel"/>
    <n v="457"/>
    <x v="1"/>
    <n v="26"/>
    <n v="2"/>
    <s v="Other"/>
    <n v="1"/>
    <n v="1605"/>
    <n v="2"/>
    <s v="Female"/>
    <n v="85"/>
    <n v="2"/>
    <n v="1"/>
    <s v="Research Scientist"/>
    <x v="2"/>
    <s v="Married"/>
    <x v="1055"/>
    <n v="10293"/>
    <n v="1"/>
    <s v="Y"/>
    <s v="Yes"/>
    <n v="14"/>
    <n v="3"/>
    <n v="2"/>
    <n v="80"/>
    <n v="0"/>
    <n v="4"/>
    <n v="2"/>
    <n v="2"/>
    <n v="4"/>
    <n v="2"/>
    <n v="1"/>
    <n v="3"/>
    <s v="3-5 yrs"/>
  </r>
  <r>
    <n v="50"/>
    <x v="1"/>
    <s v="Travel_Frequently"/>
    <n v="1234"/>
    <x v="1"/>
    <n v="20"/>
    <n v="5"/>
    <s v="Medical"/>
    <n v="1"/>
    <n v="1606"/>
    <n v="2"/>
    <s v="Male"/>
    <n v="41"/>
    <n v="3"/>
    <n v="4"/>
    <s v="Healthcare Representative"/>
    <x v="2"/>
    <s v="Married"/>
    <x v="1056"/>
    <n v="20689"/>
    <n v="2"/>
    <s v="Y"/>
    <s v="Yes"/>
    <n v="15"/>
    <n v="3"/>
    <n v="3"/>
    <n v="80"/>
    <n v="1"/>
    <n v="32"/>
    <n v="3"/>
    <n v="3"/>
    <n v="30"/>
    <n v="8"/>
    <n v="12"/>
    <n v="13"/>
    <s v="5+ yrs"/>
  </r>
  <r>
    <n v="32"/>
    <x v="1"/>
    <s v="Travel_Rarely"/>
    <n v="634"/>
    <x v="1"/>
    <n v="5"/>
    <n v="4"/>
    <s v="Other"/>
    <n v="1"/>
    <n v="1607"/>
    <n v="2"/>
    <s v="Female"/>
    <n v="35"/>
    <n v="4"/>
    <n v="1"/>
    <s v="Research Scientist"/>
    <x v="0"/>
    <s v="Married"/>
    <x v="1057"/>
    <n v="18783"/>
    <n v="3"/>
    <s v="Y"/>
    <s v="No"/>
    <n v="17"/>
    <n v="3"/>
    <n v="4"/>
    <n v="80"/>
    <n v="2"/>
    <n v="6"/>
    <n v="3"/>
    <n v="3"/>
    <n v="3"/>
    <n v="2"/>
    <n v="0"/>
    <n v="2"/>
    <s v="3-5 yrs"/>
  </r>
  <r>
    <n v="44"/>
    <x v="1"/>
    <s v="Travel_Rarely"/>
    <n v="1313"/>
    <x v="1"/>
    <n v="7"/>
    <n v="3"/>
    <s v="Medical"/>
    <n v="1"/>
    <n v="1608"/>
    <n v="2"/>
    <s v="Female"/>
    <n v="31"/>
    <n v="3"/>
    <n v="5"/>
    <s v="Research Director"/>
    <x v="0"/>
    <s v="Divorced"/>
    <x v="1058"/>
    <n v="3549"/>
    <n v="0"/>
    <s v="Y"/>
    <s v="Yes"/>
    <n v="14"/>
    <n v="3"/>
    <n v="4"/>
    <n v="80"/>
    <n v="1"/>
    <n v="23"/>
    <n v="4"/>
    <n v="2"/>
    <n v="22"/>
    <n v="7"/>
    <n v="1"/>
    <n v="10"/>
    <s v="5+ yrs"/>
  </r>
  <r>
    <n v="30"/>
    <x v="1"/>
    <s v="Travel_Rarely"/>
    <n v="241"/>
    <x v="1"/>
    <n v="7"/>
    <n v="3"/>
    <s v="Medical"/>
    <n v="1"/>
    <n v="1609"/>
    <n v="2"/>
    <s v="Male"/>
    <n v="48"/>
    <n v="2"/>
    <n v="1"/>
    <s v="Research Scientist"/>
    <x v="1"/>
    <s v="Married"/>
    <x v="1059"/>
    <n v="5348"/>
    <n v="1"/>
    <s v="Y"/>
    <s v="No"/>
    <n v="12"/>
    <n v="3"/>
    <n v="2"/>
    <n v="80"/>
    <n v="1"/>
    <n v="6"/>
    <n v="3"/>
    <n v="2"/>
    <n v="6"/>
    <n v="4"/>
    <n v="1"/>
    <n v="1"/>
    <s v="5+ yrs"/>
  </r>
  <r>
    <n v="45"/>
    <x v="1"/>
    <s v="Travel_Rarely"/>
    <n v="1015"/>
    <x v="1"/>
    <n v="5"/>
    <n v="5"/>
    <s v="Medical"/>
    <n v="1"/>
    <n v="1611"/>
    <n v="3"/>
    <s v="Female"/>
    <n v="50"/>
    <n v="1"/>
    <n v="2"/>
    <s v="Laboratory Technician"/>
    <x v="3"/>
    <s v="Single"/>
    <x v="939"/>
    <n v="23447"/>
    <n v="1"/>
    <s v="Y"/>
    <s v="Yes"/>
    <n v="14"/>
    <n v="3"/>
    <n v="1"/>
    <n v="80"/>
    <n v="0"/>
    <n v="10"/>
    <n v="3"/>
    <n v="3"/>
    <n v="10"/>
    <n v="7"/>
    <n v="1"/>
    <n v="4"/>
    <s v="5+ yrs"/>
  </r>
  <r>
    <n v="45"/>
    <x v="1"/>
    <s v="Non-Travel"/>
    <n v="336"/>
    <x v="0"/>
    <n v="26"/>
    <n v="3"/>
    <s v="Marketing"/>
    <n v="1"/>
    <n v="1612"/>
    <n v="1"/>
    <s v="Male"/>
    <n v="52"/>
    <n v="2"/>
    <n v="2"/>
    <s v="Sales Executive"/>
    <x v="3"/>
    <s v="Married"/>
    <x v="1060"/>
    <n v="24162"/>
    <n v="1"/>
    <s v="Y"/>
    <s v="No"/>
    <n v="15"/>
    <n v="3"/>
    <n v="1"/>
    <n v="80"/>
    <n v="1"/>
    <n v="10"/>
    <n v="2"/>
    <n v="3"/>
    <n v="10"/>
    <n v="7"/>
    <n v="4"/>
    <n v="5"/>
    <s v="5+ yrs"/>
  </r>
  <r>
    <n v="31"/>
    <x v="1"/>
    <s v="Travel_Frequently"/>
    <n v="715"/>
    <x v="0"/>
    <n v="2"/>
    <n v="4"/>
    <s v="Other"/>
    <n v="1"/>
    <n v="1613"/>
    <n v="4"/>
    <s v="Male"/>
    <n v="54"/>
    <n v="3"/>
    <n v="2"/>
    <s v="Sales Executive"/>
    <x v="3"/>
    <s v="Single"/>
    <x v="1061"/>
    <n v="21602"/>
    <n v="7"/>
    <s v="Y"/>
    <s v="No"/>
    <n v="13"/>
    <n v="3"/>
    <n v="4"/>
    <n v="80"/>
    <n v="0"/>
    <n v="10"/>
    <n v="3"/>
    <n v="3"/>
    <n v="5"/>
    <n v="2"/>
    <n v="0"/>
    <n v="3"/>
    <s v="3-5 yrs"/>
  </r>
  <r>
    <n v="36"/>
    <x v="1"/>
    <s v="Travel_Rarely"/>
    <n v="559"/>
    <x v="1"/>
    <n v="12"/>
    <n v="4"/>
    <s v="Life Sciences"/>
    <n v="1"/>
    <n v="1614"/>
    <n v="3"/>
    <s v="Female"/>
    <n v="76"/>
    <n v="3"/>
    <n v="2"/>
    <s v="Manufacturing Director"/>
    <x v="2"/>
    <s v="Married"/>
    <x v="1062"/>
    <n v="12421"/>
    <n v="9"/>
    <s v="Y"/>
    <s v="Yes"/>
    <n v="12"/>
    <n v="3"/>
    <n v="2"/>
    <n v="80"/>
    <n v="2"/>
    <n v="7"/>
    <n v="2"/>
    <n v="3"/>
    <n v="3"/>
    <n v="2"/>
    <n v="1"/>
    <n v="1"/>
    <s v="3-5 yrs"/>
  </r>
  <r>
    <n v="34"/>
    <x v="1"/>
    <s v="Travel_Frequently"/>
    <n v="426"/>
    <x v="1"/>
    <n v="10"/>
    <n v="4"/>
    <s v="Life Sciences"/>
    <n v="1"/>
    <n v="1615"/>
    <n v="3"/>
    <s v="Male"/>
    <n v="42"/>
    <n v="4"/>
    <n v="2"/>
    <s v="Manufacturing Director"/>
    <x v="0"/>
    <s v="Divorced"/>
    <x v="927"/>
    <n v="17000"/>
    <n v="1"/>
    <s v="Y"/>
    <s v="No"/>
    <n v="13"/>
    <n v="3"/>
    <n v="1"/>
    <n v="80"/>
    <n v="1"/>
    <n v="9"/>
    <n v="3"/>
    <n v="3"/>
    <n v="9"/>
    <n v="7"/>
    <n v="7"/>
    <n v="2"/>
    <s v="5+ yrs"/>
  </r>
  <r>
    <n v="49"/>
    <x v="1"/>
    <s v="Travel_Rarely"/>
    <n v="722"/>
    <x v="1"/>
    <n v="25"/>
    <n v="4"/>
    <s v="Life Sciences"/>
    <n v="1"/>
    <n v="1617"/>
    <n v="3"/>
    <s v="Female"/>
    <n v="84"/>
    <n v="3"/>
    <n v="1"/>
    <s v="Laboratory Technician"/>
    <x v="3"/>
    <s v="Married"/>
    <x v="1063"/>
    <n v="22102"/>
    <n v="1"/>
    <s v="Y"/>
    <s v="No"/>
    <n v="14"/>
    <n v="3"/>
    <n v="4"/>
    <n v="80"/>
    <n v="1"/>
    <n v="10"/>
    <n v="3"/>
    <n v="2"/>
    <n v="9"/>
    <n v="6"/>
    <n v="1"/>
    <n v="4"/>
    <s v="5+ yrs"/>
  </r>
  <r>
    <n v="39"/>
    <x v="1"/>
    <s v="Travel_Rarely"/>
    <n v="1387"/>
    <x v="1"/>
    <n v="10"/>
    <n v="5"/>
    <s v="Medical"/>
    <n v="1"/>
    <n v="1618"/>
    <n v="2"/>
    <s v="Male"/>
    <n v="76"/>
    <n v="3"/>
    <n v="2"/>
    <s v="Manufacturing Director"/>
    <x v="3"/>
    <s v="Married"/>
    <x v="1064"/>
    <n v="3835"/>
    <n v="2"/>
    <s v="Y"/>
    <s v="No"/>
    <n v="13"/>
    <n v="3"/>
    <n v="4"/>
    <n v="80"/>
    <n v="3"/>
    <n v="10"/>
    <n v="3"/>
    <n v="3"/>
    <n v="7"/>
    <n v="7"/>
    <n v="7"/>
    <n v="7"/>
    <s v="5+ yrs"/>
  </r>
  <r>
    <n v="27"/>
    <x v="1"/>
    <s v="Travel_Rarely"/>
    <n v="1302"/>
    <x v="1"/>
    <n v="19"/>
    <n v="3"/>
    <s v="Other"/>
    <n v="1"/>
    <n v="1619"/>
    <n v="4"/>
    <s v="Male"/>
    <n v="67"/>
    <n v="2"/>
    <n v="1"/>
    <s v="Laboratory Technician"/>
    <x v="3"/>
    <s v="Divorced"/>
    <x v="1065"/>
    <n v="16290"/>
    <n v="1"/>
    <s v="Y"/>
    <s v="No"/>
    <n v="11"/>
    <n v="3"/>
    <n v="1"/>
    <n v="80"/>
    <n v="2"/>
    <n v="7"/>
    <n v="3"/>
    <n v="3"/>
    <n v="7"/>
    <n v="7"/>
    <n v="0"/>
    <n v="7"/>
    <s v="5+ yrs"/>
  </r>
  <r>
    <n v="35"/>
    <x v="1"/>
    <s v="Travel_Rarely"/>
    <n v="819"/>
    <x v="1"/>
    <n v="18"/>
    <n v="5"/>
    <s v="Life Sciences"/>
    <n v="1"/>
    <n v="1621"/>
    <n v="2"/>
    <s v="Male"/>
    <n v="48"/>
    <n v="4"/>
    <n v="2"/>
    <s v="Research Scientist"/>
    <x v="3"/>
    <s v="Married"/>
    <x v="1066"/>
    <n v="26312"/>
    <n v="1"/>
    <s v="Y"/>
    <s v="No"/>
    <n v="11"/>
    <n v="3"/>
    <n v="4"/>
    <n v="80"/>
    <n v="0"/>
    <n v="16"/>
    <n v="2"/>
    <n v="3"/>
    <n v="16"/>
    <n v="15"/>
    <n v="1"/>
    <n v="10"/>
    <s v="5+ yrs"/>
  </r>
  <r>
    <n v="28"/>
    <x v="1"/>
    <s v="Travel_Rarely"/>
    <n v="580"/>
    <x v="1"/>
    <n v="27"/>
    <n v="3"/>
    <s v="Medical"/>
    <n v="1"/>
    <n v="1622"/>
    <n v="2"/>
    <s v="Female"/>
    <n v="39"/>
    <n v="1"/>
    <n v="2"/>
    <s v="Manufacturing Director"/>
    <x v="3"/>
    <s v="Divorced"/>
    <x v="1067"/>
    <n v="20460"/>
    <n v="0"/>
    <s v="Y"/>
    <s v="No"/>
    <n v="21"/>
    <n v="4"/>
    <n v="2"/>
    <n v="80"/>
    <n v="1"/>
    <n v="6"/>
    <n v="5"/>
    <n v="2"/>
    <n v="5"/>
    <n v="3"/>
    <n v="0"/>
    <n v="0"/>
    <s v="3-5 yrs"/>
  </r>
  <r>
    <n v="21"/>
    <x v="1"/>
    <s v="Travel_Rarely"/>
    <n v="546"/>
    <x v="1"/>
    <n v="5"/>
    <n v="1"/>
    <s v="Medical"/>
    <n v="1"/>
    <n v="1623"/>
    <n v="3"/>
    <s v="Male"/>
    <n v="97"/>
    <n v="3"/>
    <n v="1"/>
    <s v="Research Scientist"/>
    <x v="0"/>
    <s v="Single"/>
    <x v="1068"/>
    <n v="26009"/>
    <n v="1"/>
    <s v="Y"/>
    <s v="No"/>
    <n v="18"/>
    <n v="3"/>
    <n v="3"/>
    <n v="80"/>
    <n v="0"/>
    <n v="3"/>
    <n v="2"/>
    <n v="3"/>
    <n v="2"/>
    <n v="2"/>
    <n v="2"/>
    <n v="2"/>
    <s v="0-2 yrs"/>
  </r>
  <r>
    <n v="18"/>
    <x v="0"/>
    <s v="Travel_Frequently"/>
    <n v="544"/>
    <x v="0"/>
    <n v="3"/>
    <n v="2"/>
    <s v="Medical"/>
    <n v="1"/>
    <n v="1624"/>
    <n v="2"/>
    <s v="Female"/>
    <n v="70"/>
    <n v="3"/>
    <n v="1"/>
    <s v="Sales Representative"/>
    <x v="0"/>
    <s v="Single"/>
    <x v="1069"/>
    <n v="18420"/>
    <n v="1"/>
    <s v="Y"/>
    <s v="Yes"/>
    <n v="12"/>
    <n v="3"/>
    <n v="3"/>
    <n v="80"/>
    <n v="0"/>
    <n v="0"/>
    <n v="2"/>
    <n v="4"/>
    <n v="0"/>
    <n v="0"/>
    <n v="0"/>
    <n v="0"/>
    <s v="0-2 yrs"/>
  </r>
  <r>
    <n v="47"/>
    <x v="1"/>
    <s v="Travel_Rarely"/>
    <n v="1176"/>
    <x v="2"/>
    <n v="26"/>
    <n v="4"/>
    <s v="Life Sciences"/>
    <n v="1"/>
    <n v="1625"/>
    <n v="4"/>
    <s v="Female"/>
    <n v="98"/>
    <n v="3"/>
    <n v="5"/>
    <s v="Manager"/>
    <x v="2"/>
    <s v="Married"/>
    <x v="1070"/>
    <n v="5220"/>
    <n v="3"/>
    <s v="Y"/>
    <s v="No"/>
    <n v="11"/>
    <n v="3"/>
    <n v="3"/>
    <n v="80"/>
    <n v="1"/>
    <n v="27"/>
    <n v="2"/>
    <n v="3"/>
    <n v="5"/>
    <n v="2"/>
    <n v="1"/>
    <n v="0"/>
    <s v="3-5 yrs"/>
  </r>
  <r>
    <n v="39"/>
    <x v="1"/>
    <s v="Travel_Rarely"/>
    <n v="170"/>
    <x v="1"/>
    <n v="3"/>
    <n v="2"/>
    <s v="Medical"/>
    <n v="1"/>
    <n v="1627"/>
    <n v="3"/>
    <s v="Male"/>
    <n v="76"/>
    <n v="2"/>
    <n v="2"/>
    <s v="Laboratory Technician"/>
    <x v="2"/>
    <s v="Divorced"/>
    <x v="1071"/>
    <n v="10302"/>
    <n v="0"/>
    <s v="Y"/>
    <s v="No"/>
    <n v="15"/>
    <n v="3"/>
    <n v="4"/>
    <n v="80"/>
    <n v="1"/>
    <n v="11"/>
    <n v="3"/>
    <n v="3"/>
    <n v="10"/>
    <n v="8"/>
    <n v="0"/>
    <n v="7"/>
    <s v="5+ yrs"/>
  </r>
  <r>
    <n v="40"/>
    <x v="1"/>
    <s v="Travel_Rarely"/>
    <n v="884"/>
    <x v="1"/>
    <n v="15"/>
    <n v="3"/>
    <s v="Life Sciences"/>
    <n v="1"/>
    <n v="1628"/>
    <n v="1"/>
    <s v="Female"/>
    <n v="80"/>
    <n v="2"/>
    <n v="3"/>
    <s v="Manufacturing Director"/>
    <x v="2"/>
    <s v="Married"/>
    <x v="1072"/>
    <n v="25800"/>
    <n v="1"/>
    <s v="Y"/>
    <s v="No"/>
    <n v="13"/>
    <n v="3"/>
    <n v="4"/>
    <n v="80"/>
    <n v="2"/>
    <n v="18"/>
    <n v="2"/>
    <n v="3"/>
    <n v="18"/>
    <n v="15"/>
    <n v="14"/>
    <n v="12"/>
    <s v="5+ yrs"/>
  </r>
  <r>
    <n v="35"/>
    <x v="1"/>
    <s v="Non-Travel"/>
    <n v="208"/>
    <x v="1"/>
    <n v="8"/>
    <n v="4"/>
    <s v="Life Sciences"/>
    <n v="1"/>
    <n v="1630"/>
    <n v="3"/>
    <s v="Female"/>
    <n v="52"/>
    <n v="3"/>
    <n v="2"/>
    <s v="Healthcare Representative"/>
    <x v="2"/>
    <s v="Married"/>
    <x v="691"/>
    <n v="12250"/>
    <n v="1"/>
    <s v="Y"/>
    <s v="No"/>
    <n v="12"/>
    <n v="3"/>
    <n v="4"/>
    <n v="80"/>
    <n v="1"/>
    <n v="15"/>
    <n v="5"/>
    <n v="3"/>
    <n v="14"/>
    <n v="11"/>
    <n v="2"/>
    <n v="9"/>
    <s v="5+ yrs"/>
  </r>
  <r>
    <n v="37"/>
    <x v="1"/>
    <s v="Travel_Rarely"/>
    <n v="671"/>
    <x v="1"/>
    <n v="19"/>
    <n v="3"/>
    <s v="Life Sciences"/>
    <n v="1"/>
    <n v="1631"/>
    <n v="3"/>
    <s v="Male"/>
    <n v="85"/>
    <n v="3"/>
    <n v="2"/>
    <s v="Manufacturing Director"/>
    <x v="2"/>
    <s v="Married"/>
    <x v="1073"/>
    <n v="26493"/>
    <n v="3"/>
    <s v="Y"/>
    <s v="No"/>
    <n v="17"/>
    <n v="3"/>
    <n v="1"/>
    <n v="80"/>
    <n v="3"/>
    <n v="9"/>
    <n v="2"/>
    <n v="2"/>
    <n v="4"/>
    <n v="3"/>
    <n v="0"/>
    <n v="2"/>
    <s v="3-5 yrs"/>
  </r>
  <r>
    <n v="39"/>
    <x v="1"/>
    <s v="Travel_Frequently"/>
    <n v="711"/>
    <x v="1"/>
    <n v="4"/>
    <n v="3"/>
    <s v="Medical"/>
    <n v="1"/>
    <n v="1633"/>
    <n v="1"/>
    <s v="Female"/>
    <n v="81"/>
    <n v="3"/>
    <n v="2"/>
    <s v="Manufacturing Director"/>
    <x v="2"/>
    <s v="Single"/>
    <x v="1074"/>
    <n v="3140"/>
    <n v="0"/>
    <s v="Y"/>
    <s v="No"/>
    <n v="13"/>
    <n v="3"/>
    <n v="4"/>
    <n v="80"/>
    <n v="0"/>
    <n v="10"/>
    <n v="2"/>
    <n v="1"/>
    <n v="9"/>
    <n v="2"/>
    <n v="3"/>
    <n v="8"/>
    <s v="5+ yrs"/>
  </r>
  <r>
    <n v="45"/>
    <x v="1"/>
    <s v="Travel_Rarely"/>
    <n v="1329"/>
    <x v="1"/>
    <n v="2"/>
    <n v="2"/>
    <s v="Other"/>
    <n v="1"/>
    <n v="1635"/>
    <n v="4"/>
    <s v="Female"/>
    <n v="59"/>
    <n v="2"/>
    <n v="2"/>
    <s v="Manufacturing Director"/>
    <x v="0"/>
    <s v="Divorced"/>
    <x v="1075"/>
    <n v="5388"/>
    <n v="1"/>
    <s v="Y"/>
    <s v="No"/>
    <n v="19"/>
    <n v="3"/>
    <n v="1"/>
    <n v="80"/>
    <n v="2"/>
    <n v="10"/>
    <n v="3"/>
    <n v="3"/>
    <n v="10"/>
    <n v="7"/>
    <n v="3"/>
    <n v="9"/>
    <s v="5+ yrs"/>
  </r>
  <r>
    <n v="38"/>
    <x v="1"/>
    <s v="Travel_Rarely"/>
    <n v="397"/>
    <x v="1"/>
    <n v="2"/>
    <n v="2"/>
    <s v="Medical"/>
    <n v="1"/>
    <n v="1638"/>
    <n v="4"/>
    <s v="Female"/>
    <n v="54"/>
    <n v="2"/>
    <n v="3"/>
    <s v="Manufacturing Director"/>
    <x v="2"/>
    <s v="Married"/>
    <x v="751"/>
    <n v="14199"/>
    <n v="3"/>
    <s v="Y"/>
    <s v="Yes"/>
    <n v="19"/>
    <n v="3"/>
    <n v="4"/>
    <n v="80"/>
    <n v="1"/>
    <n v="10"/>
    <n v="6"/>
    <n v="4"/>
    <n v="5"/>
    <n v="4"/>
    <n v="0"/>
    <n v="2"/>
    <s v="3-5 yrs"/>
  </r>
  <r>
    <n v="35"/>
    <x v="0"/>
    <s v="Travel_Rarely"/>
    <n v="737"/>
    <x v="0"/>
    <n v="10"/>
    <n v="3"/>
    <s v="Medical"/>
    <n v="1"/>
    <n v="1639"/>
    <n v="4"/>
    <s v="Male"/>
    <n v="55"/>
    <n v="2"/>
    <n v="3"/>
    <s v="Sales Executive"/>
    <x v="3"/>
    <s v="Married"/>
    <x v="1076"/>
    <n v="21530"/>
    <n v="9"/>
    <s v="Y"/>
    <s v="No"/>
    <n v="17"/>
    <n v="3"/>
    <n v="3"/>
    <n v="80"/>
    <n v="0"/>
    <n v="15"/>
    <n v="3"/>
    <n v="3"/>
    <n v="13"/>
    <n v="12"/>
    <n v="6"/>
    <n v="0"/>
    <s v="5+ yrs"/>
  </r>
  <r>
    <n v="37"/>
    <x v="1"/>
    <s v="Travel_Rarely"/>
    <n v="1470"/>
    <x v="1"/>
    <n v="10"/>
    <n v="3"/>
    <s v="Medical"/>
    <n v="1"/>
    <n v="1640"/>
    <n v="2"/>
    <s v="Female"/>
    <n v="71"/>
    <n v="3"/>
    <n v="1"/>
    <s v="Research Scientist"/>
    <x v="1"/>
    <s v="Married"/>
    <x v="1077"/>
    <n v="9953"/>
    <n v="1"/>
    <s v="Y"/>
    <s v="No"/>
    <n v="11"/>
    <n v="3"/>
    <n v="1"/>
    <n v="80"/>
    <n v="1"/>
    <n v="8"/>
    <n v="2"/>
    <n v="1"/>
    <n v="8"/>
    <n v="4"/>
    <n v="7"/>
    <n v="7"/>
    <s v="5+ yrs"/>
  </r>
  <r>
    <n v="40"/>
    <x v="1"/>
    <s v="Travel_Rarely"/>
    <n v="448"/>
    <x v="1"/>
    <n v="16"/>
    <n v="3"/>
    <s v="Life Sciences"/>
    <n v="1"/>
    <n v="1641"/>
    <n v="3"/>
    <s v="Female"/>
    <n v="84"/>
    <n v="3"/>
    <n v="3"/>
    <s v="Manufacturing Director"/>
    <x v="0"/>
    <s v="Single"/>
    <x v="1078"/>
    <n v="19948"/>
    <n v="6"/>
    <s v="Y"/>
    <s v="Yes"/>
    <n v="15"/>
    <n v="3"/>
    <n v="4"/>
    <n v="80"/>
    <n v="0"/>
    <n v="18"/>
    <n v="2"/>
    <n v="2"/>
    <n v="4"/>
    <n v="2"/>
    <n v="3"/>
    <n v="3"/>
    <s v="3-5 yrs"/>
  </r>
  <r>
    <n v="44"/>
    <x v="1"/>
    <s v="Travel_Frequently"/>
    <n v="602"/>
    <x v="2"/>
    <n v="1"/>
    <n v="5"/>
    <s v="Human Resources"/>
    <n v="1"/>
    <n v="1642"/>
    <n v="1"/>
    <s v="Male"/>
    <n v="37"/>
    <n v="3"/>
    <n v="2"/>
    <s v="Human Resources"/>
    <x v="0"/>
    <s v="Married"/>
    <x v="1079"/>
    <n v="10503"/>
    <n v="4"/>
    <s v="Y"/>
    <s v="Yes"/>
    <n v="11"/>
    <n v="3"/>
    <n v="3"/>
    <n v="80"/>
    <n v="0"/>
    <n v="14"/>
    <n v="3"/>
    <n v="3"/>
    <n v="10"/>
    <n v="7"/>
    <n v="0"/>
    <n v="2"/>
    <s v="5+ yrs"/>
  </r>
  <r>
    <n v="48"/>
    <x v="1"/>
    <s v="Travel_Frequently"/>
    <n v="365"/>
    <x v="1"/>
    <n v="4"/>
    <n v="5"/>
    <s v="Medical"/>
    <n v="1"/>
    <n v="1644"/>
    <n v="3"/>
    <s v="Male"/>
    <n v="89"/>
    <n v="2"/>
    <n v="4"/>
    <s v="Manager"/>
    <x v="0"/>
    <s v="Married"/>
    <x v="1080"/>
    <n v="5602"/>
    <n v="2"/>
    <s v="Y"/>
    <s v="No"/>
    <n v="25"/>
    <n v="4"/>
    <n v="2"/>
    <n v="80"/>
    <n v="1"/>
    <n v="23"/>
    <n v="3"/>
    <n v="3"/>
    <n v="2"/>
    <n v="2"/>
    <n v="2"/>
    <n v="2"/>
    <s v="0-2 yrs"/>
  </r>
  <r>
    <n v="35"/>
    <x v="0"/>
    <s v="Travel_Rarely"/>
    <n v="763"/>
    <x v="0"/>
    <n v="15"/>
    <n v="2"/>
    <s v="Medical"/>
    <n v="1"/>
    <n v="1645"/>
    <n v="1"/>
    <s v="Male"/>
    <n v="59"/>
    <n v="1"/>
    <n v="2"/>
    <s v="Sales Executive"/>
    <x v="0"/>
    <s v="Divorced"/>
    <x v="1081"/>
    <n v="22098"/>
    <n v="6"/>
    <s v="Y"/>
    <s v="Yes"/>
    <n v="14"/>
    <n v="3"/>
    <n v="4"/>
    <n v="80"/>
    <n v="2"/>
    <n v="7"/>
    <n v="2"/>
    <n v="2"/>
    <n v="2"/>
    <n v="2"/>
    <n v="2"/>
    <n v="2"/>
    <s v="0-2 yrs"/>
  </r>
  <r>
    <n v="24"/>
    <x v="1"/>
    <s v="Travel_Frequently"/>
    <n v="567"/>
    <x v="1"/>
    <n v="2"/>
    <n v="1"/>
    <s v="Technical Degree"/>
    <n v="1"/>
    <n v="1646"/>
    <n v="1"/>
    <s v="Female"/>
    <n v="32"/>
    <n v="3"/>
    <n v="1"/>
    <s v="Research Scientist"/>
    <x v="0"/>
    <s v="Single"/>
    <x v="841"/>
    <n v="17218"/>
    <n v="1"/>
    <s v="Y"/>
    <s v="Yes"/>
    <n v="13"/>
    <n v="3"/>
    <n v="3"/>
    <n v="80"/>
    <n v="0"/>
    <n v="6"/>
    <n v="2"/>
    <n v="3"/>
    <n v="6"/>
    <n v="3"/>
    <n v="1"/>
    <n v="3"/>
    <s v="5+ yrs"/>
  </r>
  <r>
    <n v="27"/>
    <x v="1"/>
    <s v="Travel_Rarely"/>
    <n v="486"/>
    <x v="1"/>
    <n v="8"/>
    <n v="3"/>
    <s v="Medical"/>
    <n v="1"/>
    <n v="1647"/>
    <n v="2"/>
    <s v="Female"/>
    <n v="86"/>
    <n v="4"/>
    <n v="1"/>
    <s v="Research Scientist"/>
    <x v="2"/>
    <s v="Married"/>
    <x v="1082"/>
    <n v="22490"/>
    <n v="7"/>
    <s v="Y"/>
    <s v="No"/>
    <n v="17"/>
    <n v="3"/>
    <n v="1"/>
    <n v="80"/>
    <n v="0"/>
    <n v="5"/>
    <n v="0"/>
    <n v="3"/>
    <n v="3"/>
    <n v="2"/>
    <n v="0"/>
    <n v="2"/>
    <s v="3-5 yrs"/>
  </r>
  <r>
    <n v="27"/>
    <x v="1"/>
    <s v="Travel_Frequently"/>
    <n v="591"/>
    <x v="1"/>
    <n v="2"/>
    <n v="3"/>
    <s v="Medical"/>
    <n v="1"/>
    <n v="1648"/>
    <n v="4"/>
    <s v="Male"/>
    <n v="87"/>
    <n v="3"/>
    <n v="1"/>
    <s v="Research Scientist"/>
    <x v="0"/>
    <s v="Single"/>
    <x v="1083"/>
    <n v="6297"/>
    <n v="2"/>
    <s v="Y"/>
    <s v="No"/>
    <n v="13"/>
    <n v="3"/>
    <n v="3"/>
    <n v="80"/>
    <n v="0"/>
    <n v="6"/>
    <n v="0"/>
    <n v="2"/>
    <n v="4"/>
    <n v="2"/>
    <n v="1"/>
    <n v="2"/>
    <s v="3-5 yrs"/>
  </r>
  <r>
    <n v="40"/>
    <x v="0"/>
    <s v="Travel_Rarely"/>
    <n v="1329"/>
    <x v="1"/>
    <n v="7"/>
    <n v="3"/>
    <s v="Life Sciences"/>
    <n v="1"/>
    <n v="1649"/>
    <n v="1"/>
    <s v="Male"/>
    <n v="73"/>
    <n v="3"/>
    <n v="1"/>
    <s v="Laboratory Technician"/>
    <x v="3"/>
    <s v="Single"/>
    <x v="1084"/>
    <n v="3339"/>
    <n v="3"/>
    <s v="Y"/>
    <s v="Yes"/>
    <n v="14"/>
    <n v="3"/>
    <n v="2"/>
    <n v="80"/>
    <n v="0"/>
    <n v="10"/>
    <n v="3"/>
    <n v="1"/>
    <n v="4"/>
    <n v="2"/>
    <n v="0"/>
    <n v="3"/>
    <s v="3-5 yrs"/>
  </r>
  <r>
    <n v="29"/>
    <x v="1"/>
    <s v="Travel_Rarely"/>
    <n v="469"/>
    <x v="0"/>
    <n v="10"/>
    <n v="3"/>
    <s v="Medical"/>
    <n v="1"/>
    <n v="1650"/>
    <n v="3"/>
    <s v="Male"/>
    <n v="42"/>
    <n v="2"/>
    <n v="2"/>
    <s v="Sales Executive"/>
    <x v="2"/>
    <s v="Single"/>
    <x v="1085"/>
    <n v="23413"/>
    <n v="9"/>
    <s v="Y"/>
    <s v="No"/>
    <n v="11"/>
    <n v="3"/>
    <n v="3"/>
    <n v="80"/>
    <n v="0"/>
    <n v="8"/>
    <n v="2"/>
    <n v="3"/>
    <n v="5"/>
    <n v="2"/>
    <n v="1"/>
    <n v="4"/>
    <s v="3-5 yrs"/>
  </r>
  <r>
    <n v="36"/>
    <x v="1"/>
    <s v="Travel_Rarely"/>
    <n v="711"/>
    <x v="1"/>
    <n v="5"/>
    <n v="4"/>
    <s v="Life Sciences"/>
    <n v="1"/>
    <n v="1651"/>
    <n v="2"/>
    <s v="Female"/>
    <n v="42"/>
    <n v="3"/>
    <n v="3"/>
    <s v="Healthcare Representative"/>
    <x v="3"/>
    <s v="Married"/>
    <x v="1086"/>
    <n v="22792"/>
    <n v="4"/>
    <s v="Y"/>
    <s v="No"/>
    <n v="12"/>
    <n v="3"/>
    <n v="3"/>
    <n v="80"/>
    <n v="2"/>
    <n v="9"/>
    <n v="6"/>
    <n v="3"/>
    <n v="3"/>
    <n v="2"/>
    <n v="0"/>
    <n v="2"/>
    <s v="3-5 yrs"/>
  </r>
  <r>
    <n v="25"/>
    <x v="1"/>
    <s v="Travel_Frequently"/>
    <n v="772"/>
    <x v="1"/>
    <n v="2"/>
    <n v="1"/>
    <s v="Life Sciences"/>
    <n v="1"/>
    <n v="1653"/>
    <n v="4"/>
    <s v="Male"/>
    <n v="77"/>
    <n v="4"/>
    <n v="2"/>
    <s v="Manufacturing Director"/>
    <x v="2"/>
    <s v="Divorced"/>
    <x v="1087"/>
    <n v="4973"/>
    <n v="1"/>
    <s v="Y"/>
    <s v="No"/>
    <n v="17"/>
    <n v="3"/>
    <n v="3"/>
    <n v="80"/>
    <n v="2"/>
    <n v="7"/>
    <n v="6"/>
    <n v="3"/>
    <n v="7"/>
    <n v="7"/>
    <n v="0"/>
    <n v="7"/>
    <s v="5+ yrs"/>
  </r>
  <r>
    <n v="39"/>
    <x v="1"/>
    <s v="Travel_Rarely"/>
    <n v="492"/>
    <x v="1"/>
    <n v="12"/>
    <n v="3"/>
    <s v="Medical"/>
    <n v="1"/>
    <n v="1654"/>
    <n v="4"/>
    <s v="Male"/>
    <n v="66"/>
    <n v="3"/>
    <n v="2"/>
    <s v="Manufacturing Director"/>
    <x v="1"/>
    <s v="Married"/>
    <x v="1088"/>
    <n v="7693"/>
    <n v="4"/>
    <s v="Y"/>
    <s v="No"/>
    <n v="21"/>
    <n v="4"/>
    <n v="3"/>
    <n v="80"/>
    <n v="0"/>
    <n v="7"/>
    <n v="3"/>
    <n v="3"/>
    <n v="5"/>
    <n v="4"/>
    <n v="1"/>
    <n v="0"/>
    <s v="3-5 yrs"/>
  </r>
  <r>
    <n v="49"/>
    <x v="1"/>
    <s v="Travel_Rarely"/>
    <n v="301"/>
    <x v="1"/>
    <n v="22"/>
    <n v="4"/>
    <s v="Other"/>
    <n v="1"/>
    <n v="1655"/>
    <n v="1"/>
    <s v="Female"/>
    <n v="72"/>
    <n v="3"/>
    <n v="4"/>
    <s v="Research Director"/>
    <x v="1"/>
    <s v="Married"/>
    <x v="1089"/>
    <n v="3498"/>
    <n v="3"/>
    <s v="Y"/>
    <s v="No"/>
    <n v="16"/>
    <n v="3"/>
    <n v="2"/>
    <n v="80"/>
    <n v="2"/>
    <n v="27"/>
    <n v="2"/>
    <n v="3"/>
    <n v="4"/>
    <n v="2"/>
    <n v="1"/>
    <n v="2"/>
    <s v="3-5 yrs"/>
  </r>
  <r>
    <n v="50"/>
    <x v="1"/>
    <s v="Travel_Rarely"/>
    <n v="813"/>
    <x v="1"/>
    <n v="17"/>
    <n v="5"/>
    <s v="Life Sciences"/>
    <n v="1"/>
    <n v="1656"/>
    <n v="4"/>
    <s v="Female"/>
    <n v="50"/>
    <n v="2"/>
    <n v="3"/>
    <s v="Research Director"/>
    <x v="3"/>
    <s v="Divorced"/>
    <x v="1090"/>
    <n v="21981"/>
    <n v="5"/>
    <s v="Y"/>
    <s v="No"/>
    <n v="15"/>
    <n v="3"/>
    <n v="3"/>
    <n v="80"/>
    <n v="3"/>
    <n v="19"/>
    <n v="3"/>
    <n v="3"/>
    <n v="14"/>
    <n v="11"/>
    <n v="1"/>
    <n v="11"/>
    <s v="5+ yrs"/>
  </r>
  <r>
    <n v="20"/>
    <x v="1"/>
    <s v="Travel_Rarely"/>
    <n v="1141"/>
    <x v="0"/>
    <n v="2"/>
    <n v="3"/>
    <s v="Medical"/>
    <n v="1"/>
    <n v="1657"/>
    <n v="3"/>
    <s v="Female"/>
    <n v="31"/>
    <n v="3"/>
    <n v="1"/>
    <s v="Sales Representative"/>
    <x v="2"/>
    <s v="Single"/>
    <x v="1091"/>
    <n v="13251"/>
    <n v="1"/>
    <s v="Y"/>
    <s v="No"/>
    <n v="19"/>
    <n v="3"/>
    <n v="1"/>
    <n v="80"/>
    <n v="0"/>
    <n v="2"/>
    <n v="3"/>
    <n v="3"/>
    <n v="2"/>
    <n v="2"/>
    <n v="2"/>
    <n v="2"/>
    <s v="0-2 yrs"/>
  </r>
  <r>
    <n v="34"/>
    <x v="1"/>
    <s v="Travel_Rarely"/>
    <n v="1130"/>
    <x v="1"/>
    <n v="3"/>
    <n v="3"/>
    <s v="Life Sciences"/>
    <n v="1"/>
    <n v="1658"/>
    <n v="4"/>
    <s v="Female"/>
    <n v="66"/>
    <n v="3"/>
    <n v="2"/>
    <s v="Research Scientist"/>
    <x v="1"/>
    <s v="Divorced"/>
    <x v="1092"/>
    <n v="19332"/>
    <n v="1"/>
    <s v="Y"/>
    <s v="No"/>
    <n v="12"/>
    <n v="3"/>
    <n v="3"/>
    <n v="80"/>
    <n v="1"/>
    <n v="11"/>
    <n v="2"/>
    <n v="3"/>
    <n v="11"/>
    <n v="8"/>
    <n v="7"/>
    <n v="9"/>
    <s v="5+ yrs"/>
  </r>
  <r>
    <n v="36"/>
    <x v="1"/>
    <s v="Travel_Rarely"/>
    <n v="311"/>
    <x v="1"/>
    <n v="7"/>
    <n v="3"/>
    <s v="Life Sciences"/>
    <n v="1"/>
    <n v="1659"/>
    <n v="1"/>
    <s v="Male"/>
    <n v="77"/>
    <n v="3"/>
    <n v="1"/>
    <s v="Laboratory Technician"/>
    <x v="1"/>
    <s v="Single"/>
    <x v="1093"/>
    <n v="10950"/>
    <n v="2"/>
    <s v="Y"/>
    <s v="No"/>
    <n v="11"/>
    <n v="3"/>
    <n v="3"/>
    <n v="80"/>
    <n v="0"/>
    <n v="15"/>
    <n v="4"/>
    <n v="3"/>
    <n v="4"/>
    <n v="3"/>
    <n v="1"/>
    <n v="3"/>
    <s v="3-5 yrs"/>
  </r>
  <r>
    <n v="49"/>
    <x v="1"/>
    <s v="Travel_Rarely"/>
    <n v="465"/>
    <x v="1"/>
    <n v="6"/>
    <n v="1"/>
    <s v="Life Sciences"/>
    <n v="1"/>
    <n v="1661"/>
    <n v="3"/>
    <s v="Female"/>
    <n v="41"/>
    <n v="2"/>
    <n v="4"/>
    <s v="Healthcare Representative"/>
    <x v="2"/>
    <s v="Married"/>
    <x v="1094"/>
    <n v="11652"/>
    <n v="2"/>
    <s v="Y"/>
    <s v="Yes"/>
    <n v="19"/>
    <n v="3"/>
    <n v="2"/>
    <n v="80"/>
    <n v="1"/>
    <n v="30"/>
    <n v="3"/>
    <n v="3"/>
    <n v="15"/>
    <n v="11"/>
    <n v="2"/>
    <n v="12"/>
    <s v="5+ yrs"/>
  </r>
  <r>
    <n v="36"/>
    <x v="1"/>
    <s v="Non-Travel"/>
    <n v="894"/>
    <x v="1"/>
    <n v="1"/>
    <n v="4"/>
    <s v="Medical"/>
    <n v="1"/>
    <n v="1662"/>
    <n v="4"/>
    <s v="Female"/>
    <n v="33"/>
    <n v="2"/>
    <n v="2"/>
    <s v="Manufacturing Director"/>
    <x v="2"/>
    <s v="Married"/>
    <x v="1095"/>
    <n v="15411"/>
    <n v="0"/>
    <s v="Y"/>
    <s v="No"/>
    <n v="15"/>
    <n v="3"/>
    <n v="3"/>
    <n v="80"/>
    <n v="0"/>
    <n v="4"/>
    <n v="6"/>
    <n v="3"/>
    <n v="3"/>
    <n v="2"/>
    <n v="1"/>
    <n v="2"/>
    <s v="3-5 yrs"/>
  </r>
  <r>
    <n v="36"/>
    <x v="1"/>
    <s v="Travel_Rarely"/>
    <n v="1040"/>
    <x v="1"/>
    <n v="3"/>
    <n v="2"/>
    <s v="Life Sciences"/>
    <n v="1"/>
    <n v="1664"/>
    <n v="4"/>
    <s v="Male"/>
    <n v="79"/>
    <n v="4"/>
    <n v="2"/>
    <s v="Healthcare Representative"/>
    <x v="3"/>
    <s v="Divorced"/>
    <x v="1096"/>
    <n v="26308"/>
    <n v="6"/>
    <s v="Y"/>
    <s v="No"/>
    <n v="20"/>
    <n v="4"/>
    <n v="1"/>
    <n v="80"/>
    <n v="1"/>
    <n v="13"/>
    <n v="3"/>
    <n v="3"/>
    <n v="5"/>
    <n v="4"/>
    <n v="0"/>
    <n v="4"/>
    <s v="3-5 yrs"/>
  </r>
  <r>
    <n v="54"/>
    <x v="1"/>
    <s v="Travel_Rarely"/>
    <n v="584"/>
    <x v="1"/>
    <n v="22"/>
    <n v="5"/>
    <s v="Medical"/>
    <n v="1"/>
    <n v="1665"/>
    <n v="2"/>
    <s v="Female"/>
    <n v="91"/>
    <n v="3"/>
    <n v="4"/>
    <s v="Manager"/>
    <x v="2"/>
    <s v="Married"/>
    <x v="1097"/>
    <n v="18685"/>
    <n v="3"/>
    <s v="Y"/>
    <s v="No"/>
    <n v="25"/>
    <n v="4"/>
    <n v="3"/>
    <n v="80"/>
    <n v="1"/>
    <n v="36"/>
    <n v="6"/>
    <n v="3"/>
    <n v="10"/>
    <n v="8"/>
    <n v="4"/>
    <n v="7"/>
    <s v="5+ yrs"/>
  </r>
  <r>
    <n v="43"/>
    <x v="1"/>
    <s v="Travel_Rarely"/>
    <n v="1291"/>
    <x v="1"/>
    <n v="15"/>
    <n v="2"/>
    <s v="Life Sciences"/>
    <n v="1"/>
    <n v="1666"/>
    <n v="3"/>
    <s v="Male"/>
    <n v="65"/>
    <n v="2"/>
    <n v="4"/>
    <s v="Research Director"/>
    <x v="2"/>
    <s v="Married"/>
    <x v="1098"/>
    <n v="3525"/>
    <n v="1"/>
    <s v="Y"/>
    <s v="No"/>
    <n v="24"/>
    <n v="4"/>
    <n v="1"/>
    <n v="80"/>
    <n v="1"/>
    <n v="14"/>
    <n v="3"/>
    <n v="3"/>
    <n v="14"/>
    <n v="10"/>
    <n v="6"/>
    <n v="11"/>
    <s v="5+ yrs"/>
  </r>
  <r>
    <n v="35"/>
    <x v="0"/>
    <s v="Travel_Frequently"/>
    <n v="880"/>
    <x v="0"/>
    <n v="12"/>
    <n v="4"/>
    <s v="Other"/>
    <n v="1"/>
    <n v="1667"/>
    <n v="4"/>
    <s v="Male"/>
    <n v="36"/>
    <n v="3"/>
    <n v="2"/>
    <s v="Sales Executive"/>
    <x v="0"/>
    <s v="Single"/>
    <x v="1099"/>
    <n v="10414"/>
    <n v="3"/>
    <s v="Y"/>
    <s v="Yes"/>
    <n v="24"/>
    <n v="4"/>
    <n v="1"/>
    <n v="80"/>
    <n v="0"/>
    <n v="13"/>
    <n v="2"/>
    <n v="4"/>
    <n v="11"/>
    <n v="9"/>
    <n v="6"/>
    <n v="7"/>
    <s v="5+ yrs"/>
  </r>
  <r>
    <n v="38"/>
    <x v="1"/>
    <s v="Travel_Frequently"/>
    <n v="1189"/>
    <x v="1"/>
    <n v="1"/>
    <n v="3"/>
    <s v="Life Sciences"/>
    <n v="1"/>
    <n v="1668"/>
    <n v="4"/>
    <s v="Male"/>
    <n v="90"/>
    <n v="3"/>
    <n v="2"/>
    <s v="Research Scientist"/>
    <x v="0"/>
    <s v="Married"/>
    <x v="1100"/>
    <n v="9867"/>
    <n v="7"/>
    <s v="Y"/>
    <s v="No"/>
    <n v="15"/>
    <n v="3"/>
    <n v="4"/>
    <n v="80"/>
    <n v="2"/>
    <n v="19"/>
    <n v="4"/>
    <n v="4"/>
    <n v="13"/>
    <n v="11"/>
    <n v="2"/>
    <n v="9"/>
    <s v="5+ yrs"/>
  </r>
  <r>
    <n v="29"/>
    <x v="1"/>
    <s v="Travel_Rarely"/>
    <n v="991"/>
    <x v="0"/>
    <n v="5"/>
    <n v="3"/>
    <s v="Medical"/>
    <n v="1"/>
    <n v="1669"/>
    <n v="1"/>
    <s v="Male"/>
    <n v="43"/>
    <n v="2"/>
    <n v="2"/>
    <s v="Sales Executive"/>
    <x v="1"/>
    <s v="Divorced"/>
    <x v="1101"/>
    <n v="3356"/>
    <n v="1"/>
    <s v="Y"/>
    <s v="Yes"/>
    <n v="13"/>
    <n v="3"/>
    <n v="2"/>
    <n v="80"/>
    <n v="1"/>
    <n v="10"/>
    <n v="3"/>
    <n v="2"/>
    <n v="10"/>
    <n v="0"/>
    <n v="0"/>
    <n v="9"/>
    <s v="5+ yrs"/>
  </r>
  <r>
    <n v="33"/>
    <x v="1"/>
    <s v="Travel_Rarely"/>
    <n v="392"/>
    <x v="0"/>
    <n v="2"/>
    <n v="4"/>
    <s v="Medical"/>
    <n v="1"/>
    <n v="1670"/>
    <n v="4"/>
    <s v="Male"/>
    <n v="93"/>
    <n v="3"/>
    <n v="2"/>
    <s v="Sales Executive"/>
    <x v="0"/>
    <s v="Divorced"/>
    <x v="1102"/>
    <n v="3921"/>
    <n v="1"/>
    <s v="Y"/>
    <s v="No"/>
    <n v="14"/>
    <n v="3"/>
    <n v="3"/>
    <n v="80"/>
    <n v="2"/>
    <n v="6"/>
    <n v="5"/>
    <n v="3"/>
    <n v="6"/>
    <n v="2"/>
    <n v="0"/>
    <n v="4"/>
    <s v="5+ yrs"/>
  </r>
  <r>
    <n v="32"/>
    <x v="1"/>
    <s v="Travel_Rarely"/>
    <n v="977"/>
    <x v="1"/>
    <n v="2"/>
    <n v="3"/>
    <s v="Medical"/>
    <n v="1"/>
    <n v="1671"/>
    <n v="4"/>
    <s v="Male"/>
    <n v="45"/>
    <n v="3"/>
    <n v="2"/>
    <s v="Research Scientist"/>
    <x v="1"/>
    <s v="Divorced"/>
    <x v="1103"/>
    <n v="25518"/>
    <n v="0"/>
    <s v="Y"/>
    <s v="No"/>
    <n v="13"/>
    <n v="3"/>
    <n v="3"/>
    <n v="80"/>
    <n v="2"/>
    <n v="10"/>
    <n v="4"/>
    <n v="2"/>
    <n v="9"/>
    <n v="5"/>
    <n v="1"/>
    <n v="6"/>
    <s v="5+ yrs"/>
  </r>
  <r>
    <n v="31"/>
    <x v="1"/>
    <s v="Travel_Rarely"/>
    <n v="1112"/>
    <x v="0"/>
    <n v="5"/>
    <n v="4"/>
    <s v="Life Sciences"/>
    <n v="1"/>
    <n v="1673"/>
    <n v="1"/>
    <s v="Female"/>
    <n v="67"/>
    <n v="3"/>
    <n v="2"/>
    <s v="Sales Executive"/>
    <x v="0"/>
    <s v="Married"/>
    <x v="1104"/>
    <n v="22589"/>
    <n v="1"/>
    <s v="Y"/>
    <s v="No"/>
    <n v="11"/>
    <n v="3"/>
    <n v="1"/>
    <n v="80"/>
    <n v="2"/>
    <n v="10"/>
    <n v="2"/>
    <n v="3"/>
    <n v="10"/>
    <n v="0"/>
    <n v="0"/>
    <n v="2"/>
    <s v="5+ yrs"/>
  </r>
  <r>
    <n v="49"/>
    <x v="1"/>
    <s v="Travel_Rarely"/>
    <n v="464"/>
    <x v="1"/>
    <n v="16"/>
    <n v="3"/>
    <s v="Medical"/>
    <n v="1"/>
    <n v="1674"/>
    <n v="4"/>
    <s v="Female"/>
    <n v="74"/>
    <n v="3"/>
    <n v="1"/>
    <s v="Laboratory Technician"/>
    <x v="3"/>
    <s v="Divorced"/>
    <x v="1105"/>
    <n v="24941"/>
    <n v="4"/>
    <s v="Y"/>
    <s v="Yes"/>
    <n v="16"/>
    <n v="3"/>
    <n v="2"/>
    <n v="80"/>
    <n v="1"/>
    <n v="17"/>
    <n v="2"/>
    <n v="2"/>
    <n v="2"/>
    <n v="2"/>
    <n v="2"/>
    <n v="2"/>
    <s v="0-2 yrs"/>
  </r>
  <r>
    <n v="38"/>
    <x v="1"/>
    <s v="Travel_Frequently"/>
    <n v="148"/>
    <x v="1"/>
    <n v="2"/>
    <n v="3"/>
    <s v="Medical"/>
    <n v="1"/>
    <n v="1675"/>
    <n v="4"/>
    <s v="Female"/>
    <n v="42"/>
    <n v="2"/>
    <n v="1"/>
    <s v="Laboratory Technician"/>
    <x v="1"/>
    <s v="Single"/>
    <x v="1106"/>
    <n v="23826"/>
    <n v="1"/>
    <s v="Y"/>
    <s v="No"/>
    <n v="22"/>
    <n v="4"/>
    <n v="2"/>
    <n v="80"/>
    <n v="0"/>
    <n v="4"/>
    <n v="3"/>
    <n v="3"/>
    <n v="4"/>
    <n v="3"/>
    <n v="3"/>
    <n v="3"/>
    <s v="3-5 yrs"/>
  </r>
  <r>
    <n v="47"/>
    <x v="1"/>
    <s v="Travel_Rarely"/>
    <n v="1225"/>
    <x v="0"/>
    <n v="2"/>
    <n v="4"/>
    <s v="Life Sciences"/>
    <n v="1"/>
    <n v="1676"/>
    <n v="2"/>
    <s v="Female"/>
    <n v="47"/>
    <n v="4"/>
    <n v="4"/>
    <s v="Manager"/>
    <x v="1"/>
    <s v="Divorced"/>
    <x v="1107"/>
    <n v="21086"/>
    <n v="6"/>
    <s v="Y"/>
    <s v="No"/>
    <n v="14"/>
    <n v="3"/>
    <n v="3"/>
    <n v="80"/>
    <n v="3"/>
    <n v="29"/>
    <n v="2"/>
    <n v="3"/>
    <n v="3"/>
    <n v="2"/>
    <n v="1"/>
    <n v="2"/>
    <s v="3-5 yrs"/>
  </r>
  <r>
    <n v="49"/>
    <x v="1"/>
    <s v="Travel_Rarely"/>
    <n v="809"/>
    <x v="1"/>
    <n v="1"/>
    <n v="3"/>
    <s v="Life Sciences"/>
    <n v="1"/>
    <n v="1677"/>
    <n v="3"/>
    <s v="Male"/>
    <n v="36"/>
    <n v="3"/>
    <n v="4"/>
    <s v="Manager"/>
    <x v="2"/>
    <s v="Single"/>
    <x v="1108"/>
    <n v="22384"/>
    <n v="4"/>
    <s v="Y"/>
    <s v="No"/>
    <n v="14"/>
    <n v="3"/>
    <n v="1"/>
    <n v="80"/>
    <n v="0"/>
    <n v="23"/>
    <n v="2"/>
    <n v="3"/>
    <n v="8"/>
    <n v="7"/>
    <n v="0"/>
    <n v="0"/>
    <s v="5+ yrs"/>
  </r>
  <r>
    <n v="41"/>
    <x v="1"/>
    <s v="Travel_Rarely"/>
    <n v="1206"/>
    <x v="0"/>
    <n v="23"/>
    <n v="2"/>
    <s v="Life Sciences"/>
    <n v="1"/>
    <n v="1678"/>
    <n v="4"/>
    <s v="Male"/>
    <n v="80"/>
    <n v="3"/>
    <n v="3"/>
    <s v="Sales Executive"/>
    <x v="2"/>
    <s v="Single"/>
    <x v="1109"/>
    <n v="11591"/>
    <n v="3"/>
    <s v="Y"/>
    <s v="Yes"/>
    <n v="16"/>
    <n v="3"/>
    <n v="4"/>
    <n v="80"/>
    <n v="0"/>
    <n v="21"/>
    <n v="2"/>
    <n v="3"/>
    <n v="2"/>
    <n v="0"/>
    <n v="0"/>
    <n v="2"/>
    <s v="0-2 yrs"/>
  </r>
  <r>
    <n v="20"/>
    <x v="1"/>
    <s v="Travel_Rarely"/>
    <n v="727"/>
    <x v="0"/>
    <n v="9"/>
    <n v="1"/>
    <s v="Life Sciences"/>
    <n v="1"/>
    <n v="1680"/>
    <n v="4"/>
    <s v="Male"/>
    <n v="54"/>
    <n v="3"/>
    <n v="1"/>
    <s v="Sales Representative"/>
    <x v="3"/>
    <s v="Single"/>
    <x v="1110"/>
    <n v="21082"/>
    <n v="1"/>
    <s v="Y"/>
    <s v="No"/>
    <n v="11"/>
    <n v="3"/>
    <n v="1"/>
    <n v="80"/>
    <n v="0"/>
    <n v="2"/>
    <n v="3"/>
    <n v="3"/>
    <n v="2"/>
    <n v="2"/>
    <n v="0"/>
    <n v="2"/>
    <s v="0-2 yrs"/>
  </r>
  <r>
    <n v="33"/>
    <x v="1"/>
    <s v="Non-Travel"/>
    <n v="530"/>
    <x v="0"/>
    <n v="16"/>
    <n v="3"/>
    <s v="Life Sciences"/>
    <n v="1"/>
    <n v="1681"/>
    <n v="3"/>
    <s v="Female"/>
    <n v="36"/>
    <n v="3"/>
    <n v="2"/>
    <s v="Sales Executive"/>
    <x v="0"/>
    <s v="Divorced"/>
    <x v="1111"/>
    <n v="16130"/>
    <n v="1"/>
    <s v="Y"/>
    <s v="Yes"/>
    <n v="25"/>
    <n v="4"/>
    <n v="3"/>
    <n v="80"/>
    <n v="1"/>
    <n v="7"/>
    <n v="2"/>
    <n v="3"/>
    <n v="6"/>
    <n v="5"/>
    <n v="1"/>
    <n v="2"/>
    <s v="5+ yrs"/>
  </r>
  <r>
    <n v="36"/>
    <x v="1"/>
    <s v="Travel_Rarely"/>
    <n v="1351"/>
    <x v="1"/>
    <n v="26"/>
    <n v="4"/>
    <s v="Life Sciences"/>
    <n v="1"/>
    <n v="1682"/>
    <n v="1"/>
    <s v="Male"/>
    <n v="80"/>
    <n v="3"/>
    <n v="2"/>
    <s v="Healthcare Representative"/>
    <x v="2"/>
    <s v="Married"/>
    <x v="1112"/>
    <n v="7419"/>
    <n v="6"/>
    <s v="Y"/>
    <s v="No"/>
    <n v="14"/>
    <n v="3"/>
    <n v="2"/>
    <n v="80"/>
    <n v="2"/>
    <n v="10"/>
    <n v="2"/>
    <n v="2"/>
    <n v="3"/>
    <n v="2"/>
    <n v="0"/>
    <n v="2"/>
    <s v="3-5 yrs"/>
  </r>
  <r>
    <n v="44"/>
    <x v="1"/>
    <s v="Travel_Rarely"/>
    <n v="528"/>
    <x v="2"/>
    <n v="1"/>
    <n v="3"/>
    <s v="Life Sciences"/>
    <n v="1"/>
    <n v="1683"/>
    <n v="3"/>
    <s v="Female"/>
    <n v="44"/>
    <n v="3"/>
    <n v="1"/>
    <s v="Human Resources"/>
    <x v="0"/>
    <s v="Divorced"/>
    <x v="1113"/>
    <n v="4167"/>
    <n v="4"/>
    <s v="Y"/>
    <s v="Yes"/>
    <n v="18"/>
    <n v="3"/>
    <n v="1"/>
    <n v="80"/>
    <n v="3"/>
    <n v="8"/>
    <n v="2"/>
    <n v="3"/>
    <n v="2"/>
    <n v="2"/>
    <n v="2"/>
    <n v="2"/>
    <s v="0-2 yrs"/>
  </r>
  <r>
    <n v="23"/>
    <x v="0"/>
    <s v="Travel_Rarely"/>
    <n v="1320"/>
    <x v="1"/>
    <n v="8"/>
    <n v="1"/>
    <s v="Medical"/>
    <n v="1"/>
    <n v="1684"/>
    <n v="4"/>
    <s v="Male"/>
    <n v="93"/>
    <n v="2"/>
    <n v="1"/>
    <s v="Laboratory Technician"/>
    <x v="2"/>
    <s v="Single"/>
    <x v="1114"/>
    <n v="20586"/>
    <n v="1"/>
    <s v="Y"/>
    <s v="Yes"/>
    <n v="11"/>
    <n v="3"/>
    <n v="1"/>
    <n v="80"/>
    <n v="0"/>
    <n v="5"/>
    <n v="2"/>
    <n v="3"/>
    <n v="5"/>
    <n v="4"/>
    <n v="1"/>
    <n v="2"/>
    <s v="3-5 yrs"/>
  </r>
  <r>
    <n v="38"/>
    <x v="1"/>
    <s v="Travel_Rarely"/>
    <n v="1495"/>
    <x v="1"/>
    <n v="4"/>
    <n v="2"/>
    <s v="Medical"/>
    <n v="1"/>
    <n v="1687"/>
    <n v="4"/>
    <s v="Female"/>
    <n v="87"/>
    <n v="3"/>
    <n v="1"/>
    <s v="Laboratory Technician"/>
    <x v="2"/>
    <s v="Married"/>
    <x v="1115"/>
    <n v="26176"/>
    <n v="7"/>
    <s v="Y"/>
    <s v="No"/>
    <n v="19"/>
    <n v="3"/>
    <n v="4"/>
    <n v="80"/>
    <n v="1"/>
    <n v="7"/>
    <n v="5"/>
    <n v="2"/>
    <n v="0"/>
    <n v="0"/>
    <n v="0"/>
    <n v="0"/>
    <s v="0-2 yrs"/>
  </r>
  <r>
    <n v="53"/>
    <x v="1"/>
    <s v="Travel_Rarely"/>
    <n v="1395"/>
    <x v="1"/>
    <n v="24"/>
    <n v="4"/>
    <s v="Medical"/>
    <n v="1"/>
    <n v="1689"/>
    <n v="2"/>
    <s v="Male"/>
    <n v="48"/>
    <n v="4"/>
    <n v="3"/>
    <s v="Healthcare Representative"/>
    <x v="0"/>
    <s v="Married"/>
    <x v="1116"/>
    <n v="3458"/>
    <n v="3"/>
    <s v="Y"/>
    <s v="No"/>
    <n v="15"/>
    <n v="3"/>
    <n v="3"/>
    <n v="80"/>
    <n v="0"/>
    <n v="11"/>
    <n v="2"/>
    <n v="3"/>
    <n v="4"/>
    <n v="3"/>
    <n v="1"/>
    <n v="2"/>
    <s v="3-5 yrs"/>
  </r>
  <r>
    <n v="48"/>
    <x v="0"/>
    <s v="Travel_Frequently"/>
    <n v="708"/>
    <x v="0"/>
    <n v="7"/>
    <n v="2"/>
    <s v="Medical"/>
    <n v="1"/>
    <n v="1691"/>
    <n v="4"/>
    <s v="Female"/>
    <n v="95"/>
    <n v="3"/>
    <n v="1"/>
    <s v="Sales Representative"/>
    <x v="2"/>
    <s v="Married"/>
    <x v="1117"/>
    <n v="11740"/>
    <n v="2"/>
    <s v="Y"/>
    <s v="Yes"/>
    <n v="11"/>
    <n v="3"/>
    <n v="3"/>
    <n v="80"/>
    <n v="2"/>
    <n v="19"/>
    <n v="3"/>
    <n v="3"/>
    <n v="9"/>
    <n v="7"/>
    <n v="7"/>
    <n v="7"/>
    <s v="5+ yrs"/>
  </r>
  <r>
    <n v="32"/>
    <x v="0"/>
    <s v="Travel_Rarely"/>
    <n v="1259"/>
    <x v="1"/>
    <n v="2"/>
    <n v="4"/>
    <s v="Life Sciences"/>
    <n v="1"/>
    <n v="1692"/>
    <n v="4"/>
    <s v="Male"/>
    <n v="95"/>
    <n v="3"/>
    <n v="1"/>
    <s v="Laboratory Technician"/>
    <x v="1"/>
    <s v="Single"/>
    <x v="1118"/>
    <n v="24852"/>
    <n v="1"/>
    <s v="Y"/>
    <s v="No"/>
    <n v="12"/>
    <n v="3"/>
    <n v="1"/>
    <n v="80"/>
    <n v="0"/>
    <n v="1"/>
    <n v="2"/>
    <n v="3"/>
    <n v="1"/>
    <n v="0"/>
    <n v="0"/>
    <n v="0"/>
    <s v="0-2 yrs"/>
  </r>
  <r>
    <n v="26"/>
    <x v="1"/>
    <s v="Non-Travel"/>
    <n v="786"/>
    <x v="1"/>
    <n v="7"/>
    <n v="3"/>
    <s v="Medical"/>
    <n v="1"/>
    <n v="1693"/>
    <n v="4"/>
    <s v="Male"/>
    <n v="76"/>
    <n v="3"/>
    <n v="1"/>
    <s v="Laboratory Technician"/>
    <x v="0"/>
    <s v="Single"/>
    <x v="1119"/>
    <n v="11925"/>
    <n v="1"/>
    <s v="Y"/>
    <s v="No"/>
    <n v="20"/>
    <n v="4"/>
    <n v="3"/>
    <n v="80"/>
    <n v="0"/>
    <n v="7"/>
    <n v="5"/>
    <n v="3"/>
    <n v="7"/>
    <n v="7"/>
    <n v="5"/>
    <n v="7"/>
    <s v="5+ yrs"/>
  </r>
  <r>
    <n v="55"/>
    <x v="1"/>
    <s v="Travel_Rarely"/>
    <n v="1441"/>
    <x v="1"/>
    <n v="22"/>
    <n v="3"/>
    <s v="Technical Degree"/>
    <n v="1"/>
    <n v="1694"/>
    <n v="1"/>
    <s v="Male"/>
    <n v="94"/>
    <n v="2"/>
    <n v="1"/>
    <s v="Research Scientist"/>
    <x v="1"/>
    <s v="Divorced"/>
    <x v="1120"/>
    <n v="23737"/>
    <n v="5"/>
    <s v="Y"/>
    <s v="No"/>
    <n v="12"/>
    <n v="3"/>
    <n v="4"/>
    <n v="80"/>
    <n v="1"/>
    <n v="8"/>
    <n v="1"/>
    <n v="3"/>
    <n v="4"/>
    <n v="2"/>
    <n v="1"/>
    <n v="2"/>
    <s v="3-5 yrs"/>
  </r>
  <r>
    <n v="34"/>
    <x v="1"/>
    <s v="Travel_Rarely"/>
    <n v="1157"/>
    <x v="1"/>
    <n v="5"/>
    <n v="2"/>
    <s v="Medical"/>
    <n v="1"/>
    <n v="1696"/>
    <n v="2"/>
    <s v="Male"/>
    <n v="57"/>
    <n v="2"/>
    <n v="2"/>
    <s v="Laboratory Technician"/>
    <x v="0"/>
    <s v="Married"/>
    <x v="1121"/>
    <n v="11912"/>
    <n v="1"/>
    <s v="Y"/>
    <s v="No"/>
    <n v="14"/>
    <n v="3"/>
    <n v="3"/>
    <n v="80"/>
    <n v="1"/>
    <n v="15"/>
    <n v="3"/>
    <n v="4"/>
    <n v="15"/>
    <n v="10"/>
    <n v="4"/>
    <n v="13"/>
    <s v="5+ yrs"/>
  </r>
  <r>
    <n v="60"/>
    <x v="1"/>
    <s v="Travel_Rarely"/>
    <n v="370"/>
    <x v="1"/>
    <n v="1"/>
    <n v="4"/>
    <s v="Medical"/>
    <n v="1"/>
    <n v="1697"/>
    <n v="3"/>
    <s v="Male"/>
    <n v="92"/>
    <n v="1"/>
    <n v="3"/>
    <s v="Healthcare Representative"/>
    <x v="0"/>
    <s v="Divorced"/>
    <x v="1122"/>
    <n v="20467"/>
    <n v="3"/>
    <s v="Y"/>
    <s v="No"/>
    <n v="20"/>
    <n v="4"/>
    <n v="3"/>
    <n v="80"/>
    <n v="1"/>
    <n v="19"/>
    <n v="2"/>
    <n v="4"/>
    <n v="1"/>
    <n v="0"/>
    <n v="0"/>
    <n v="0"/>
    <s v="0-2 yrs"/>
  </r>
  <r>
    <n v="33"/>
    <x v="1"/>
    <s v="Travel_Rarely"/>
    <n v="267"/>
    <x v="1"/>
    <n v="21"/>
    <n v="3"/>
    <s v="Medical"/>
    <n v="1"/>
    <n v="1698"/>
    <n v="2"/>
    <s v="Male"/>
    <n v="79"/>
    <n v="4"/>
    <n v="1"/>
    <s v="Laboratory Technician"/>
    <x v="1"/>
    <s v="Married"/>
    <x v="14"/>
    <n v="13637"/>
    <n v="1"/>
    <s v="Y"/>
    <s v="No"/>
    <n v="18"/>
    <n v="3"/>
    <n v="4"/>
    <n v="80"/>
    <n v="3"/>
    <n v="14"/>
    <n v="6"/>
    <n v="3"/>
    <n v="14"/>
    <n v="11"/>
    <n v="2"/>
    <n v="13"/>
    <s v="5+ yrs"/>
  </r>
  <r>
    <n v="37"/>
    <x v="1"/>
    <s v="Travel_Frequently"/>
    <n v="1278"/>
    <x v="0"/>
    <n v="1"/>
    <n v="4"/>
    <s v="Medical"/>
    <n v="1"/>
    <n v="1700"/>
    <n v="3"/>
    <s v="Male"/>
    <n v="31"/>
    <n v="1"/>
    <n v="2"/>
    <s v="Sales Executive"/>
    <x v="0"/>
    <s v="Divorced"/>
    <x v="1123"/>
    <n v="7677"/>
    <n v="1"/>
    <s v="Y"/>
    <s v="No"/>
    <n v="14"/>
    <n v="3"/>
    <n v="3"/>
    <n v="80"/>
    <n v="2"/>
    <n v="6"/>
    <n v="2"/>
    <n v="2"/>
    <n v="6"/>
    <n v="3"/>
    <n v="1"/>
    <n v="3"/>
    <s v="5+ yrs"/>
  </r>
  <r>
    <n v="34"/>
    <x v="1"/>
    <s v="Travel_Rarely"/>
    <n v="678"/>
    <x v="1"/>
    <n v="19"/>
    <n v="3"/>
    <s v="Life Sciences"/>
    <n v="1"/>
    <n v="1701"/>
    <n v="2"/>
    <s v="Female"/>
    <n v="35"/>
    <n v="2"/>
    <n v="1"/>
    <s v="Research Scientist"/>
    <x v="0"/>
    <s v="Married"/>
    <x v="1124"/>
    <n v="20338"/>
    <n v="1"/>
    <s v="Y"/>
    <s v="No"/>
    <n v="12"/>
    <n v="3"/>
    <n v="2"/>
    <n v="80"/>
    <n v="0"/>
    <n v="10"/>
    <n v="3"/>
    <n v="3"/>
    <n v="10"/>
    <n v="9"/>
    <n v="8"/>
    <n v="7"/>
    <s v="5+ yrs"/>
  </r>
  <r>
    <n v="23"/>
    <x v="0"/>
    <s v="Travel_Rarely"/>
    <n v="427"/>
    <x v="0"/>
    <n v="7"/>
    <n v="3"/>
    <s v="Life Sciences"/>
    <n v="1"/>
    <n v="1702"/>
    <n v="3"/>
    <s v="Male"/>
    <n v="99"/>
    <n v="3"/>
    <n v="1"/>
    <s v="Sales Representative"/>
    <x v="0"/>
    <s v="Divorced"/>
    <x v="1125"/>
    <n v="25103"/>
    <n v="1"/>
    <s v="Y"/>
    <s v="Yes"/>
    <n v="21"/>
    <n v="4"/>
    <n v="2"/>
    <n v="80"/>
    <n v="1"/>
    <n v="3"/>
    <n v="2"/>
    <n v="3"/>
    <n v="3"/>
    <n v="2"/>
    <n v="0"/>
    <n v="2"/>
    <s v="3-5 yrs"/>
  </r>
  <r>
    <n v="44"/>
    <x v="1"/>
    <s v="Travel_Rarely"/>
    <n v="921"/>
    <x v="1"/>
    <n v="2"/>
    <n v="3"/>
    <s v="Life Sciences"/>
    <n v="1"/>
    <n v="1703"/>
    <n v="3"/>
    <s v="Female"/>
    <n v="96"/>
    <n v="4"/>
    <n v="3"/>
    <s v="Healthcare Representative"/>
    <x v="0"/>
    <s v="Married"/>
    <x v="1126"/>
    <n v="14810"/>
    <n v="1"/>
    <s v="Y"/>
    <s v="Yes"/>
    <n v="19"/>
    <n v="3"/>
    <n v="2"/>
    <n v="80"/>
    <n v="1"/>
    <n v="9"/>
    <n v="2"/>
    <n v="3"/>
    <n v="8"/>
    <n v="7"/>
    <n v="6"/>
    <n v="7"/>
    <s v="5+ yrs"/>
  </r>
  <r>
    <n v="35"/>
    <x v="1"/>
    <s v="Travel_Frequently"/>
    <n v="146"/>
    <x v="1"/>
    <n v="2"/>
    <n v="4"/>
    <s v="Medical"/>
    <n v="1"/>
    <n v="1704"/>
    <n v="1"/>
    <s v="Male"/>
    <n v="79"/>
    <n v="2"/>
    <n v="1"/>
    <s v="Research Scientist"/>
    <x v="0"/>
    <s v="Single"/>
    <x v="1127"/>
    <n v="13970"/>
    <n v="0"/>
    <s v="Y"/>
    <s v="Yes"/>
    <n v="14"/>
    <n v="3"/>
    <n v="3"/>
    <n v="80"/>
    <n v="0"/>
    <n v="6"/>
    <n v="2"/>
    <n v="4"/>
    <n v="5"/>
    <n v="4"/>
    <n v="1"/>
    <n v="4"/>
    <s v="3-5 yrs"/>
  </r>
  <r>
    <n v="43"/>
    <x v="1"/>
    <s v="Travel_Rarely"/>
    <n v="1179"/>
    <x v="0"/>
    <n v="2"/>
    <n v="3"/>
    <s v="Medical"/>
    <n v="1"/>
    <n v="1706"/>
    <n v="4"/>
    <s v="Male"/>
    <n v="73"/>
    <n v="3"/>
    <n v="2"/>
    <s v="Sales Executive"/>
    <x v="0"/>
    <s v="Married"/>
    <x v="1128"/>
    <n v="6069"/>
    <n v="1"/>
    <s v="Y"/>
    <s v="Yes"/>
    <n v="17"/>
    <n v="3"/>
    <n v="1"/>
    <n v="80"/>
    <n v="1"/>
    <n v="10"/>
    <n v="3"/>
    <n v="3"/>
    <n v="10"/>
    <n v="9"/>
    <n v="8"/>
    <n v="8"/>
    <s v="5+ yrs"/>
  </r>
  <r>
    <n v="24"/>
    <x v="1"/>
    <s v="Travel_Rarely"/>
    <n v="581"/>
    <x v="1"/>
    <n v="9"/>
    <n v="3"/>
    <s v="Medical"/>
    <n v="1"/>
    <n v="1707"/>
    <n v="3"/>
    <s v="Male"/>
    <n v="62"/>
    <n v="4"/>
    <n v="1"/>
    <s v="Research Scientist"/>
    <x v="2"/>
    <s v="Married"/>
    <x v="1129"/>
    <n v="17616"/>
    <n v="1"/>
    <s v="Y"/>
    <s v="No"/>
    <n v="16"/>
    <n v="3"/>
    <n v="4"/>
    <n v="80"/>
    <n v="1"/>
    <n v="5"/>
    <n v="1"/>
    <n v="3"/>
    <n v="5"/>
    <n v="3"/>
    <n v="0"/>
    <n v="4"/>
    <s v="3-5 yrs"/>
  </r>
  <r>
    <n v="41"/>
    <x v="1"/>
    <s v="Travel_Rarely"/>
    <n v="918"/>
    <x v="0"/>
    <n v="6"/>
    <n v="3"/>
    <s v="Marketing"/>
    <n v="1"/>
    <n v="1708"/>
    <n v="4"/>
    <s v="Male"/>
    <n v="35"/>
    <n v="3"/>
    <n v="3"/>
    <s v="Sales Executive"/>
    <x v="2"/>
    <s v="Single"/>
    <x v="1130"/>
    <n v="15869"/>
    <n v="1"/>
    <s v="Y"/>
    <s v="No"/>
    <n v="12"/>
    <n v="3"/>
    <n v="2"/>
    <n v="80"/>
    <n v="0"/>
    <n v="10"/>
    <n v="3"/>
    <n v="3"/>
    <n v="10"/>
    <n v="8"/>
    <n v="8"/>
    <n v="7"/>
    <s v="5+ yrs"/>
  </r>
  <r>
    <n v="29"/>
    <x v="1"/>
    <s v="Travel_Rarely"/>
    <n v="1082"/>
    <x v="1"/>
    <n v="9"/>
    <n v="4"/>
    <s v="Medical"/>
    <n v="1"/>
    <n v="1709"/>
    <n v="4"/>
    <s v="Female"/>
    <n v="43"/>
    <n v="3"/>
    <n v="1"/>
    <s v="Laboratory Technician"/>
    <x v="2"/>
    <s v="Married"/>
    <x v="1131"/>
    <n v="25412"/>
    <n v="9"/>
    <s v="Y"/>
    <s v="No"/>
    <n v="17"/>
    <n v="3"/>
    <n v="3"/>
    <n v="80"/>
    <n v="1"/>
    <n v="9"/>
    <n v="2"/>
    <n v="3"/>
    <n v="5"/>
    <n v="3"/>
    <n v="1"/>
    <n v="2"/>
    <s v="3-5 yrs"/>
  </r>
  <r>
    <n v="36"/>
    <x v="1"/>
    <s v="Travel_Rarely"/>
    <n v="530"/>
    <x v="0"/>
    <n v="2"/>
    <n v="4"/>
    <s v="Life Sciences"/>
    <n v="1"/>
    <n v="1710"/>
    <n v="3"/>
    <s v="Female"/>
    <n v="51"/>
    <n v="3"/>
    <n v="2"/>
    <s v="Sales Representative"/>
    <x v="0"/>
    <s v="Single"/>
    <x v="1132"/>
    <n v="7439"/>
    <n v="3"/>
    <s v="Y"/>
    <s v="No"/>
    <n v="15"/>
    <n v="3"/>
    <n v="3"/>
    <n v="80"/>
    <n v="0"/>
    <n v="17"/>
    <n v="2"/>
    <n v="2"/>
    <n v="13"/>
    <n v="7"/>
    <n v="6"/>
    <n v="7"/>
    <s v="5+ yrs"/>
  </r>
  <r>
    <n v="45"/>
    <x v="1"/>
    <s v="Non-Travel"/>
    <n v="1238"/>
    <x v="1"/>
    <n v="1"/>
    <n v="1"/>
    <s v="Life Sciences"/>
    <n v="1"/>
    <n v="1712"/>
    <n v="3"/>
    <s v="Male"/>
    <n v="74"/>
    <n v="2"/>
    <n v="3"/>
    <s v="Healthcare Representative"/>
    <x v="2"/>
    <s v="Married"/>
    <x v="1133"/>
    <n v="3395"/>
    <n v="3"/>
    <s v="Y"/>
    <s v="No"/>
    <n v="23"/>
    <n v="4"/>
    <n v="4"/>
    <n v="80"/>
    <n v="1"/>
    <n v="25"/>
    <n v="3"/>
    <n v="2"/>
    <n v="23"/>
    <n v="15"/>
    <n v="14"/>
    <n v="4"/>
    <s v="5+ yrs"/>
  </r>
  <r>
    <n v="24"/>
    <x v="0"/>
    <s v="Travel_Rarely"/>
    <n v="240"/>
    <x v="2"/>
    <n v="22"/>
    <n v="1"/>
    <s v="Human Resources"/>
    <n v="1"/>
    <n v="1714"/>
    <n v="4"/>
    <s v="Male"/>
    <n v="58"/>
    <n v="1"/>
    <n v="1"/>
    <s v="Human Resources"/>
    <x v="2"/>
    <s v="Married"/>
    <x v="1134"/>
    <n v="11585"/>
    <n v="1"/>
    <s v="Y"/>
    <s v="No"/>
    <n v="11"/>
    <n v="3"/>
    <n v="3"/>
    <n v="80"/>
    <n v="1"/>
    <n v="1"/>
    <n v="2"/>
    <n v="3"/>
    <n v="1"/>
    <n v="0"/>
    <n v="0"/>
    <n v="0"/>
    <s v="0-2 yrs"/>
  </r>
  <r>
    <n v="47"/>
    <x v="0"/>
    <s v="Travel_Frequently"/>
    <n v="1093"/>
    <x v="0"/>
    <n v="9"/>
    <n v="3"/>
    <s v="Life Sciences"/>
    <n v="1"/>
    <n v="1716"/>
    <n v="3"/>
    <s v="Male"/>
    <n v="82"/>
    <n v="1"/>
    <n v="4"/>
    <s v="Sales Executive"/>
    <x v="2"/>
    <s v="Married"/>
    <x v="1135"/>
    <n v="24164"/>
    <n v="7"/>
    <s v="Y"/>
    <s v="No"/>
    <n v="11"/>
    <n v="3"/>
    <n v="3"/>
    <n v="80"/>
    <n v="0"/>
    <n v="25"/>
    <n v="3"/>
    <n v="1"/>
    <n v="23"/>
    <n v="5"/>
    <n v="14"/>
    <n v="10"/>
    <s v="5+ yrs"/>
  </r>
  <r>
    <n v="26"/>
    <x v="1"/>
    <s v="Travel_Rarely"/>
    <n v="390"/>
    <x v="1"/>
    <n v="17"/>
    <n v="4"/>
    <s v="Medical"/>
    <n v="1"/>
    <n v="1718"/>
    <n v="4"/>
    <s v="Male"/>
    <n v="62"/>
    <n v="1"/>
    <n v="1"/>
    <s v="Laboratory Technician"/>
    <x v="2"/>
    <s v="Married"/>
    <x v="1136"/>
    <n v="6217"/>
    <n v="1"/>
    <s v="Y"/>
    <s v="No"/>
    <n v="15"/>
    <n v="3"/>
    <n v="3"/>
    <n v="80"/>
    <n v="3"/>
    <n v="3"/>
    <n v="3"/>
    <n v="4"/>
    <n v="3"/>
    <n v="2"/>
    <n v="0"/>
    <n v="2"/>
    <s v="3-5 yrs"/>
  </r>
  <r>
    <n v="45"/>
    <x v="1"/>
    <s v="Travel_Rarely"/>
    <n v="1005"/>
    <x v="1"/>
    <n v="28"/>
    <n v="2"/>
    <s v="Technical Degree"/>
    <n v="1"/>
    <n v="1719"/>
    <n v="4"/>
    <s v="Female"/>
    <n v="48"/>
    <n v="2"/>
    <n v="4"/>
    <s v="Research Director"/>
    <x v="1"/>
    <s v="Single"/>
    <x v="1137"/>
    <n v="17119"/>
    <n v="1"/>
    <s v="Y"/>
    <s v="No"/>
    <n v="11"/>
    <n v="3"/>
    <n v="3"/>
    <n v="80"/>
    <n v="0"/>
    <n v="21"/>
    <n v="2"/>
    <n v="3"/>
    <n v="21"/>
    <n v="6"/>
    <n v="8"/>
    <n v="6"/>
    <s v="5+ yrs"/>
  </r>
  <r>
    <n v="32"/>
    <x v="1"/>
    <s v="Travel_Frequently"/>
    <n v="585"/>
    <x v="1"/>
    <n v="10"/>
    <n v="3"/>
    <s v="Life Sciences"/>
    <n v="1"/>
    <n v="1720"/>
    <n v="1"/>
    <s v="Male"/>
    <n v="56"/>
    <n v="3"/>
    <n v="1"/>
    <s v="Research Scientist"/>
    <x v="2"/>
    <s v="Married"/>
    <x v="1138"/>
    <n v="17360"/>
    <n v="6"/>
    <s v="Y"/>
    <s v="No"/>
    <n v="13"/>
    <n v="3"/>
    <n v="1"/>
    <n v="80"/>
    <n v="1"/>
    <n v="10"/>
    <n v="3"/>
    <n v="2"/>
    <n v="5"/>
    <n v="2"/>
    <n v="1"/>
    <n v="3"/>
    <s v="3-5 yrs"/>
  </r>
  <r>
    <n v="31"/>
    <x v="1"/>
    <s v="Travel_Rarely"/>
    <n v="741"/>
    <x v="1"/>
    <n v="2"/>
    <n v="4"/>
    <s v="Life Sciences"/>
    <n v="1"/>
    <n v="1721"/>
    <n v="2"/>
    <s v="Male"/>
    <n v="69"/>
    <n v="3"/>
    <n v="1"/>
    <s v="Laboratory Technician"/>
    <x v="2"/>
    <s v="Married"/>
    <x v="1139"/>
    <n v="18103"/>
    <n v="1"/>
    <s v="Y"/>
    <s v="No"/>
    <n v="14"/>
    <n v="3"/>
    <n v="4"/>
    <n v="80"/>
    <n v="1"/>
    <n v="6"/>
    <n v="2"/>
    <n v="4"/>
    <n v="5"/>
    <n v="2"/>
    <n v="0"/>
    <n v="3"/>
    <s v="3-5 yrs"/>
  </r>
  <r>
    <n v="41"/>
    <x v="1"/>
    <s v="Non-Travel"/>
    <n v="552"/>
    <x v="2"/>
    <n v="4"/>
    <n v="3"/>
    <s v="Human Resources"/>
    <n v="1"/>
    <n v="1722"/>
    <n v="3"/>
    <s v="Male"/>
    <n v="60"/>
    <n v="1"/>
    <n v="2"/>
    <s v="Human Resources"/>
    <x v="1"/>
    <s v="Married"/>
    <x v="1140"/>
    <n v="20794"/>
    <n v="6"/>
    <s v="Y"/>
    <s v="No"/>
    <n v="19"/>
    <n v="3"/>
    <n v="2"/>
    <n v="80"/>
    <n v="1"/>
    <n v="10"/>
    <n v="4"/>
    <n v="3"/>
    <n v="3"/>
    <n v="2"/>
    <n v="1"/>
    <n v="2"/>
    <s v="3-5 yrs"/>
  </r>
  <r>
    <n v="40"/>
    <x v="1"/>
    <s v="Travel_Rarely"/>
    <n v="369"/>
    <x v="1"/>
    <n v="8"/>
    <n v="2"/>
    <s v="Life Sciences"/>
    <n v="1"/>
    <n v="1724"/>
    <n v="2"/>
    <s v="Female"/>
    <n v="92"/>
    <n v="3"/>
    <n v="2"/>
    <s v="Manufacturing Director"/>
    <x v="3"/>
    <s v="Married"/>
    <x v="1141"/>
    <n v="5041"/>
    <n v="2"/>
    <s v="Y"/>
    <s v="Yes"/>
    <n v="16"/>
    <n v="3"/>
    <n v="2"/>
    <n v="80"/>
    <n v="1"/>
    <n v="18"/>
    <n v="3"/>
    <n v="3"/>
    <n v="1"/>
    <n v="0"/>
    <n v="0"/>
    <n v="0"/>
    <s v="0-2 yrs"/>
  </r>
  <r>
    <n v="24"/>
    <x v="1"/>
    <s v="Travel_Rarely"/>
    <n v="506"/>
    <x v="1"/>
    <n v="29"/>
    <n v="1"/>
    <s v="Medical"/>
    <n v="1"/>
    <n v="1725"/>
    <n v="2"/>
    <s v="Male"/>
    <n v="91"/>
    <n v="3"/>
    <n v="1"/>
    <s v="Laboratory Technician"/>
    <x v="3"/>
    <s v="Divorced"/>
    <x v="1142"/>
    <n v="3622"/>
    <n v="1"/>
    <s v="Y"/>
    <s v="No"/>
    <n v="13"/>
    <n v="3"/>
    <n v="2"/>
    <n v="80"/>
    <n v="3"/>
    <n v="6"/>
    <n v="2"/>
    <n v="4"/>
    <n v="6"/>
    <n v="2"/>
    <n v="1"/>
    <n v="2"/>
    <s v="5+ yrs"/>
  </r>
  <r>
    <n v="46"/>
    <x v="1"/>
    <s v="Travel_Rarely"/>
    <n v="717"/>
    <x v="1"/>
    <n v="13"/>
    <n v="4"/>
    <s v="Life Sciences"/>
    <n v="1"/>
    <n v="1727"/>
    <n v="3"/>
    <s v="Male"/>
    <n v="34"/>
    <n v="3"/>
    <n v="2"/>
    <s v="Healthcare Representative"/>
    <x v="1"/>
    <s v="Single"/>
    <x v="622"/>
    <n v="9697"/>
    <n v="6"/>
    <s v="Y"/>
    <s v="No"/>
    <n v="14"/>
    <n v="3"/>
    <n v="4"/>
    <n v="80"/>
    <n v="0"/>
    <n v="19"/>
    <n v="3"/>
    <n v="3"/>
    <n v="10"/>
    <n v="7"/>
    <n v="0"/>
    <n v="9"/>
    <s v="5+ yrs"/>
  </r>
  <r>
    <n v="35"/>
    <x v="1"/>
    <s v="Travel_Rarely"/>
    <n v="1370"/>
    <x v="1"/>
    <n v="27"/>
    <n v="4"/>
    <s v="Life Sciences"/>
    <n v="1"/>
    <n v="1728"/>
    <n v="4"/>
    <s v="Male"/>
    <n v="49"/>
    <n v="3"/>
    <n v="2"/>
    <s v="Manufacturing Director"/>
    <x v="2"/>
    <s v="Married"/>
    <x v="1143"/>
    <n v="5151"/>
    <n v="2"/>
    <s v="Y"/>
    <s v="No"/>
    <n v="16"/>
    <n v="3"/>
    <n v="2"/>
    <n v="80"/>
    <n v="1"/>
    <n v="17"/>
    <n v="3"/>
    <n v="3"/>
    <n v="7"/>
    <n v="7"/>
    <n v="0"/>
    <n v="7"/>
    <s v="5+ yrs"/>
  </r>
  <r>
    <n v="30"/>
    <x v="1"/>
    <s v="Travel_Rarely"/>
    <n v="793"/>
    <x v="1"/>
    <n v="16"/>
    <n v="1"/>
    <s v="Life Sciences"/>
    <n v="1"/>
    <n v="1729"/>
    <n v="2"/>
    <s v="Male"/>
    <n v="33"/>
    <n v="3"/>
    <n v="1"/>
    <s v="Research Scientist"/>
    <x v="0"/>
    <s v="Married"/>
    <x v="1144"/>
    <n v="3811"/>
    <n v="1"/>
    <s v="Y"/>
    <s v="No"/>
    <n v="12"/>
    <n v="3"/>
    <n v="2"/>
    <n v="80"/>
    <n v="1"/>
    <n v="10"/>
    <n v="2"/>
    <n v="2"/>
    <n v="10"/>
    <n v="0"/>
    <n v="0"/>
    <n v="8"/>
    <s v="5+ yrs"/>
  </r>
  <r>
    <n v="47"/>
    <x v="1"/>
    <s v="Non-Travel"/>
    <n v="543"/>
    <x v="0"/>
    <n v="2"/>
    <n v="4"/>
    <s v="Marketing"/>
    <n v="1"/>
    <n v="1731"/>
    <n v="3"/>
    <s v="Male"/>
    <n v="87"/>
    <n v="3"/>
    <n v="2"/>
    <s v="Sales Executive"/>
    <x v="1"/>
    <s v="Married"/>
    <x v="1145"/>
    <n v="3536"/>
    <n v="7"/>
    <s v="Y"/>
    <s v="No"/>
    <n v="11"/>
    <n v="3"/>
    <n v="4"/>
    <n v="80"/>
    <n v="1"/>
    <n v="4"/>
    <n v="3"/>
    <n v="1"/>
    <n v="1"/>
    <n v="0"/>
    <n v="0"/>
    <n v="0"/>
    <s v="0-2 yrs"/>
  </r>
  <r>
    <n v="46"/>
    <x v="1"/>
    <s v="Travel_Rarely"/>
    <n v="1277"/>
    <x v="0"/>
    <n v="2"/>
    <n v="3"/>
    <s v="Life Sciences"/>
    <n v="1"/>
    <n v="1732"/>
    <n v="3"/>
    <s v="Male"/>
    <n v="74"/>
    <n v="3"/>
    <n v="3"/>
    <s v="Sales Executive"/>
    <x v="0"/>
    <s v="Divorced"/>
    <x v="1146"/>
    <n v="5596"/>
    <n v="4"/>
    <s v="Y"/>
    <s v="Yes"/>
    <n v="12"/>
    <n v="3"/>
    <n v="2"/>
    <n v="80"/>
    <n v="1"/>
    <n v="13"/>
    <n v="5"/>
    <n v="2"/>
    <n v="10"/>
    <n v="6"/>
    <n v="0"/>
    <n v="3"/>
    <s v="5+ yrs"/>
  </r>
  <r>
    <n v="36"/>
    <x v="0"/>
    <s v="Travel_Rarely"/>
    <n v="1456"/>
    <x v="0"/>
    <n v="13"/>
    <n v="5"/>
    <s v="Marketing"/>
    <n v="1"/>
    <n v="1733"/>
    <n v="2"/>
    <s v="Male"/>
    <n v="96"/>
    <n v="2"/>
    <n v="2"/>
    <s v="Sales Executive"/>
    <x v="3"/>
    <s v="Divorced"/>
    <x v="1147"/>
    <n v="8658"/>
    <n v="5"/>
    <s v="Y"/>
    <s v="Yes"/>
    <n v="13"/>
    <n v="3"/>
    <n v="2"/>
    <n v="80"/>
    <n v="3"/>
    <n v="16"/>
    <n v="3"/>
    <n v="3"/>
    <n v="2"/>
    <n v="2"/>
    <n v="2"/>
    <n v="2"/>
    <s v="0-2 yrs"/>
  </r>
  <r>
    <n v="32"/>
    <x v="0"/>
    <s v="Travel_Rarely"/>
    <n v="964"/>
    <x v="0"/>
    <n v="1"/>
    <n v="2"/>
    <s v="Life Sciences"/>
    <n v="1"/>
    <n v="1734"/>
    <n v="1"/>
    <s v="Male"/>
    <n v="34"/>
    <n v="1"/>
    <n v="2"/>
    <s v="Sales Executive"/>
    <x v="1"/>
    <s v="Single"/>
    <x v="1148"/>
    <n v="12147"/>
    <n v="6"/>
    <s v="Y"/>
    <s v="No"/>
    <n v="15"/>
    <n v="3"/>
    <n v="2"/>
    <n v="80"/>
    <n v="0"/>
    <n v="10"/>
    <n v="2"/>
    <n v="3"/>
    <n v="0"/>
    <n v="0"/>
    <n v="0"/>
    <n v="0"/>
    <s v="0-2 yrs"/>
  </r>
  <r>
    <n v="23"/>
    <x v="1"/>
    <s v="Travel_Rarely"/>
    <n v="160"/>
    <x v="1"/>
    <n v="4"/>
    <n v="1"/>
    <s v="Medical"/>
    <n v="1"/>
    <n v="1735"/>
    <n v="3"/>
    <s v="Female"/>
    <n v="51"/>
    <n v="3"/>
    <n v="1"/>
    <s v="Laboratory Technician"/>
    <x v="1"/>
    <s v="Single"/>
    <x v="1149"/>
    <n v="12862"/>
    <n v="1"/>
    <s v="Y"/>
    <s v="No"/>
    <n v="13"/>
    <n v="3"/>
    <n v="3"/>
    <n v="80"/>
    <n v="0"/>
    <n v="3"/>
    <n v="3"/>
    <n v="1"/>
    <n v="3"/>
    <n v="2"/>
    <n v="1"/>
    <n v="2"/>
    <s v="3-5 yrs"/>
  </r>
  <r>
    <n v="31"/>
    <x v="1"/>
    <s v="Travel_Frequently"/>
    <n v="163"/>
    <x v="1"/>
    <n v="24"/>
    <n v="1"/>
    <s v="Technical Degree"/>
    <n v="1"/>
    <n v="1736"/>
    <n v="4"/>
    <s v="Female"/>
    <n v="30"/>
    <n v="3"/>
    <n v="2"/>
    <s v="Manufacturing Director"/>
    <x v="0"/>
    <s v="Single"/>
    <x v="319"/>
    <n v="6670"/>
    <n v="2"/>
    <s v="Y"/>
    <s v="No"/>
    <n v="20"/>
    <n v="4"/>
    <n v="4"/>
    <n v="80"/>
    <n v="0"/>
    <n v="9"/>
    <n v="3"/>
    <n v="2"/>
    <n v="5"/>
    <n v="4"/>
    <n v="1"/>
    <n v="4"/>
    <s v="3-5 yrs"/>
  </r>
  <r>
    <n v="39"/>
    <x v="1"/>
    <s v="Non-Travel"/>
    <n v="792"/>
    <x v="1"/>
    <n v="1"/>
    <n v="3"/>
    <s v="Life Sciences"/>
    <n v="1"/>
    <n v="1737"/>
    <n v="4"/>
    <s v="Male"/>
    <n v="77"/>
    <n v="3"/>
    <n v="2"/>
    <s v="Laboratory Technician"/>
    <x v="0"/>
    <s v="Married"/>
    <x v="1150"/>
    <n v="8989"/>
    <n v="1"/>
    <s v="Y"/>
    <s v="Yes"/>
    <n v="15"/>
    <n v="3"/>
    <n v="4"/>
    <n v="80"/>
    <n v="1"/>
    <n v="9"/>
    <n v="2"/>
    <n v="3"/>
    <n v="9"/>
    <n v="8"/>
    <n v="5"/>
    <n v="8"/>
    <s v="5+ yrs"/>
  </r>
  <r>
    <n v="32"/>
    <x v="1"/>
    <s v="Travel_Rarely"/>
    <n v="371"/>
    <x v="0"/>
    <n v="19"/>
    <n v="3"/>
    <s v="Life Sciences"/>
    <n v="1"/>
    <n v="1739"/>
    <n v="4"/>
    <s v="Male"/>
    <n v="80"/>
    <n v="1"/>
    <n v="3"/>
    <s v="Sales Executive"/>
    <x v="2"/>
    <s v="Married"/>
    <x v="1151"/>
    <n v="3840"/>
    <n v="3"/>
    <s v="Y"/>
    <s v="No"/>
    <n v="13"/>
    <n v="3"/>
    <n v="3"/>
    <n v="80"/>
    <n v="1"/>
    <n v="10"/>
    <n v="2"/>
    <n v="1"/>
    <n v="4"/>
    <n v="3"/>
    <n v="0"/>
    <n v="2"/>
    <s v="3-5 yrs"/>
  </r>
  <r>
    <n v="40"/>
    <x v="1"/>
    <s v="Travel_Rarely"/>
    <n v="611"/>
    <x v="0"/>
    <n v="7"/>
    <n v="4"/>
    <s v="Medical"/>
    <n v="1"/>
    <n v="1740"/>
    <n v="2"/>
    <s v="Male"/>
    <n v="88"/>
    <n v="3"/>
    <n v="5"/>
    <s v="Manager"/>
    <x v="1"/>
    <s v="Single"/>
    <x v="1152"/>
    <n v="4349"/>
    <n v="1"/>
    <s v="Y"/>
    <s v="No"/>
    <n v="14"/>
    <n v="3"/>
    <n v="2"/>
    <n v="80"/>
    <n v="0"/>
    <n v="21"/>
    <n v="3"/>
    <n v="2"/>
    <n v="21"/>
    <n v="8"/>
    <n v="12"/>
    <n v="8"/>
    <s v="5+ yrs"/>
  </r>
  <r>
    <n v="45"/>
    <x v="1"/>
    <s v="Travel_Rarely"/>
    <n v="176"/>
    <x v="2"/>
    <n v="4"/>
    <n v="3"/>
    <s v="Life Sciences"/>
    <n v="1"/>
    <n v="1744"/>
    <n v="3"/>
    <s v="Female"/>
    <n v="56"/>
    <n v="1"/>
    <n v="3"/>
    <s v="Human Resources"/>
    <x v="2"/>
    <s v="Married"/>
    <x v="1153"/>
    <n v="6595"/>
    <n v="4"/>
    <s v="Y"/>
    <s v="No"/>
    <n v="21"/>
    <n v="4"/>
    <n v="3"/>
    <n v="80"/>
    <n v="2"/>
    <n v="9"/>
    <n v="2"/>
    <n v="4"/>
    <n v="5"/>
    <n v="0"/>
    <n v="0"/>
    <n v="3"/>
    <s v="3-5 yrs"/>
  </r>
  <r>
    <n v="30"/>
    <x v="1"/>
    <s v="Travel_Frequently"/>
    <n v="1312"/>
    <x v="1"/>
    <n v="2"/>
    <n v="4"/>
    <s v="Technical Degree"/>
    <n v="1"/>
    <n v="1745"/>
    <n v="4"/>
    <s v="Female"/>
    <n v="78"/>
    <n v="2"/>
    <n v="1"/>
    <s v="Research Scientist"/>
    <x v="3"/>
    <s v="Single"/>
    <x v="775"/>
    <n v="26427"/>
    <n v="0"/>
    <s v="Y"/>
    <s v="No"/>
    <n v="16"/>
    <n v="3"/>
    <n v="4"/>
    <n v="80"/>
    <n v="0"/>
    <n v="10"/>
    <n v="2"/>
    <n v="3"/>
    <n v="9"/>
    <n v="7"/>
    <n v="0"/>
    <n v="7"/>
    <s v="5+ yrs"/>
  </r>
  <r>
    <n v="24"/>
    <x v="1"/>
    <s v="Travel_Frequently"/>
    <n v="897"/>
    <x v="2"/>
    <n v="10"/>
    <n v="3"/>
    <s v="Medical"/>
    <n v="1"/>
    <n v="1746"/>
    <n v="1"/>
    <s v="Male"/>
    <n v="59"/>
    <n v="3"/>
    <n v="1"/>
    <s v="Human Resources"/>
    <x v="0"/>
    <s v="Married"/>
    <x v="1154"/>
    <n v="2097"/>
    <n v="0"/>
    <s v="Y"/>
    <s v="No"/>
    <n v="14"/>
    <n v="3"/>
    <n v="4"/>
    <n v="80"/>
    <n v="1"/>
    <n v="3"/>
    <n v="2"/>
    <n v="3"/>
    <n v="2"/>
    <n v="2"/>
    <n v="2"/>
    <n v="1"/>
    <s v="0-2 yrs"/>
  </r>
  <r>
    <n v="30"/>
    <x v="0"/>
    <s v="Travel_Frequently"/>
    <n v="600"/>
    <x v="2"/>
    <n v="8"/>
    <n v="3"/>
    <s v="Human Resources"/>
    <n v="1"/>
    <n v="1747"/>
    <n v="3"/>
    <s v="Female"/>
    <n v="66"/>
    <n v="2"/>
    <n v="1"/>
    <s v="Human Resources"/>
    <x v="0"/>
    <s v="Divorced"/>
    <x v="1155"/>
    <n v="9732"/>
    <n v="6"/>
    <s v="Y"/>
    <s v="No"/>
    <n v="11"/>
    <n v="3"/>
    <n v="3"/>
    <n v="80"/>
    <n v="1"/>
    <n v="6"/>
    <n v="0"/>
    <n v="2"/>
    <n v="4"/>
    <n v="2"/>
    <n v="1"/>
    <n v="2"/>
    <s v="3-5 yrs"/>
  </r>
  <r>
    <n v="31"/>
    <x v="1"/>
    <s v="Travel_Rarely"/>
    <n v="1003"/>
    <x v="0"/>
    <n v="5"/>
    <n v="3"/>
    <s v="Technical Degree"/>
    <n v="1"/>
    <n v="1749"/>
    <n v="1"/>
    <s v="Male"/>
    <n v="51"/>
    <n v="3"/>
    <n v="2"/>
    <s v="Sales Executive"/>
    <x v="2"/>
    <s v="Married"/>
    <x v="1156"/>
    <n v="20943"/>
    <n v="1"/>
    <s v="Y"/>
    <s v="No"/>
    <n v="19"/>
    <n v="3"/>
    <n v="3"/>
    <n v="80"/>
    <n v="1"/>
    <n v="6"/>
    <n v="3"/>
    <n v="3"/>
    <n v="5"/>
    <n v="2"/>
    <n v="0"/>
    <n v="2"/>
    <s v="3-5 yrs"/>
  </r>
  <r>
    <n v="27"/>
    <x v="1"/>
    <s v="Travel_Rarely"/>
    <n v="1054"/>
    <x v="1"/>
    <n v="8"/>
    <n v="3"/>
    <s v="Medical"/>
    <n v="1"/>
    <n v="1751"/>
    <n v="3"/>
    <s v="Female"/>
    <n v="67"/>
    <n v="3"/>
    <n v="1"/>
    <s v="Research Scientist"/>
    <x v="0"/>
    <s v="Single"/>
    <x v="1157"/>
    <n v="6152"/>
    <n v="1"/>
    <s v="Y"/>
    <s v="No"/>
    <n v="11"/>
    <n v="3"/>
    <n v="3"/>
    <n v="80"/>
    <n v="0"/>
    <n v="6"/>
    <n v="5"/>
    <n v="2"/>
    <n v="6"/>
    <n v="2"/>
    <n v="1"/>
    <n v="4"/>
    <s v="5+ yrs"/>
  </r>
  <r>
    <n v="29"/>
    <x v="0"/>
    <s v="Travel_Rarely"/>
    <n v="428"/>
    <x v="0"/>
    <n v="9"/>
    <n v="3"/>
    <s v="Marketing"/>
    <n v="1"/>
    <n v="1752"/>
    <n v="2"/>
    <s v="Female"/>
    <n v="52"/>
    <n v="1"/>
    <n v="1"/>
    <s v="Sales Representative"/>
    <x v="1"/>
    <s v="Single"/>
    <x v="1158"/>
    <n v="14630"/>
    <n v="1"/>
    <s v="Y"/>
    <s v="No"/>
    <n v="13"/>
    <n v="3"/>
    <n v="3"/>
    <n v="80"/>
    <n v="0"/>
    <n v="2"/>
    <n v="3"/>
    <n v="3"/>
    <n v="2"/>
    <n v="2"/>
    <n v="2"/>
    <n v="2"/>
    <s v="0-2 yrs"/>
  </r>
  <r>
    <n v="29"/>
    <x v="1"/>
    <s v="Travel_Frequently"/>
    <n v="461"/>
    <x v="1"/>
    <n v="1"/>
    <n v="3"/>
    <s v="Life Sciences"/>
    <n v="1"/>
    <n v="1753"/>
    <n v="4"/>
    <s v="Male"/>
    <n v="70"/>
    <n v="4"/>
    <n v="2"/>
    <s v="Healthcare Representative"/>
    <x v="2"/>
    <s v="Single"/>
    <x v="1159"/>
    <n v="23060"/>
    <n v="8"/>
    <s v="Y"/>
    <s v="Yes"/>
    <n v="12"/>
    <n v="3"/>
    <n v="4"/>
    <n v="80"/>
    <n v="0"/>
    <n v="10"/>
    <n v="5"/>
    <n v="4"/>
    <n v="3"/>
    <n v="2"/>
    <n v="0"/>
    <n v="2"/>
    <s v="3-5 yrs"/>
  </r>
  <r>
    <n v="30"/>
    <x v="1"/>
    <s v="Travel_Rarely"/>
    <n v="979"/>
    <x v="0"/>
    <n v="15"/>
    <n v="2"/>
    <s v="Marketing"/>
    <n v="1"/>
    <n v="1754"/>
    <n v="3"/>
    <s v="Male"/>
    <n v="94"/>
    <n v="2"/>
    <n v="3"/>
    <s v="Sales Executive"/>
    <x v="3"/>
    <s v="Divorced"/>
    <x v="1160"/>
    <n v="3088"/>
    <n v="2"/>
    <s v="Y"/>
    <s v="No"/>
    <n v="11"/>
    <n v="3"/>
    <n v="1"/>
    <n v="80"/>
    <n v="1"/>
    <n v="12"/>
    <n v="2"/>
    <n v="3"/>
    <n v="7"/>
    <n v="7"/>
    <n v="1"/>
    <n v="7"/>
    <s v="5+ yrs"/>
  </r>
  <r>
    <n v="34"/>
    <x v="1"/>
    <s v="Travel_Rarely"/>
    <n v="181"/>
    <x v="1"/>
    <n v="2"/>
    <n v="4"/>
    <s v="Medical"/>
    <n v="1"/>
    <n v="1755"/>
    <n v="4"/>
    <s v="Male"/>
    <n v="97"/>
    <n v="4"/>
    <n v="1"/>
    <s v="Research Scientist"/>
    <x v="0"/>
    <s v="Married"/>
    <x v="1161"/>
    <n v="5586"/>
    <n v="0"/>
    <s v="Y"/>
    <s v="Yes"/>
    <n v="14"/>
    <n v="3"/>
    <n v="1"/>
    <n v="80"/>
    <n v="3"/>
    <n v="6"/>
    <n v="3"/>
    <n v="3"/>
    <n v="5"/>
    <n v="0"/>
    <n v="1"/>
    <n v="2"/>
    <s v="3-5 yrs"/>
  </r>
  <r>
    <n v="33"/>
    <x v="1"/>
    <s v="Non-Travel"/>
    <n v="1283"/>
    <x v="0"/>
    <n v="2"/>
    <n v="3"/>
    <s v="Marketing"/>
    <n v="1"/>
    <n v="1756"/>
    <n v="4"/>
    <s v="Female"/>
    <n v="62"/>
    <n v="3"/>
    <n v="2"/>
    <s v="Sales Executive"/>
    <x v="1"/>
    <s v="Single"/>
    <x v="1162"/>
    <n v="10697"/>
    <n v="8"/>
    <s v="Y"/>
    <s v="No"/>
    <n v="15"/>
    <n v="3"/>
    <n v="4"/>
    <n v="80"/>
    <n v="0"/>
    <n v="13"/>
    <n v="2"/>
    <n v="2"/>
    <n v="11"/>
    <n v="7"/>
    <n v="1"/>
    <n v="7"/>
    <s v="5+ yrs"/>
  </r>
  <r>
    <n v="49"/>
    <x v="1"/>
    <s v="Travel_Rarely"/>
    <n v="1313"/>
    <x v="0"/>
    <n v="11"/>
    <n v="4"/>
    <s v="Marketing"/>
    <n v="1"/>
    <n v="1757"/>
    <n v="4"/>
    <s v="Female"/>
    <n v="80"/>
    <n v="3"/>
    <n v="2"/>
    <s v="Sales Executive"/>
    <x v="0"/>
    <s v="Single"/>
    <x v="1163"/>
    <n v="8191"/>
    <n v="3"/>
    <s v="Y"/>
    <s v="No"/>
    <n v="12"/>
    <n v="3"/>
    <n v="3"/>
    <n v="80"/>
    <n v="0"/>
    <n v="8"/>
    <n v="1"/>
    <n v="4"/>
    <n v="5"/>
    <n v="1"/>
    <n v="0"/>
    <n v="4"/>
    <s v="3-5 yrs"/>
  </r>
  <r>
    <n v="33"/>
    <x v="0"/>
    <s v="Travel_Rarely"/>
    <n v="211"/>
    <x v="0"/>
    <n v="16"/>
    <n v="3"/>
    <s v="Life Sciences"/>
    <n v="1"/>
    <n v="1758"/>
    <n v="1"/>
    <s v="Female"/>
    <n v="74"/>
    <n v="3"/>
    <n v="3"/>
    <s v="Sales Executive"/>
    <x v="3"/>
    <s v="Single"/>
    <x v="1164"/>
    <n v="10092"/>
    <n v="2"/>
    <s v="Y"/>
    <s v="Yes"/>
    <n v="20"/>
    <n v="4"/>
    <n v="3"/>
    <n v="80"/>
    <n v="0"/>
    <n v="11"/>
    <n v="2"/>
    <n v="2"/>
    <n v="0"/>
    <n v="0"/>
    <n v="0"/>
    <n v="0"/>
    <s v="0-2 yrs"/>
  </r>
  <r>
    <n v="38"/>
    <x v="1"/>
    <s v="Travel_Frequently"/>
    <n v="594"/>
    <x v="1"/>
    <n v="2"/>
    <n v="2"/>
    <s v="Medical"/>
    <n v="1"/>
    <n v="1760"/>
    <n v="3"/>
    <s v="Female"/>
    <n v="75"/>
    <n v="2"/>
    <n v="1"/>
    <s v="Laboratory Technician"/>
    <x v="1"/>
    <s v="Married"/>
    <x v="1165"/>
    <n v="15963"/>
    <n v="4"/>
    <s v="Y"/>
    <s v="No"/>
    <n v="14"/>
    <n v="3"/>
    <n v="2"/>
    <n v="80"/>
    <n v="1"/>
    <n v="9"/>
    <n v="4"/>
    <n v="2"/>
    <n v="6"/>
    <n v="1"/>
    <n v="0"/>
    <n v="5"/>
    <s v="5+ yrs"/>
  </r>
  <r>
    <n v="31"/>
    <x v="0"/>
    <s v="Travel_Rarely"/>
    <n v="1079"/>
    <x v="0"/>
    <n v="16"/>
    <n v="4"/>
    <s v="Marketing"/>
    <n v="1"/>
    <n v="1761"/>
    <n v="1"/>
    <s v="Male"/>
    <n v="70"/>
    <n v="3"/>
    <n v="3"/>
    <s v="Sales Executive"/>
    <x v="2"/>
    <s v="Married"/>
    <x v="1166"/>
    <n v="19002"/>
    <n v="2"/>
    <s v="Y"/>
    <s v="No"/>
    <n v="13"/>
    <n v="3"/>
    <n v="1"/>
    <n v="80"/>
    <n v="3"/>
    <n v="10"/>
    <n v="2"/>
    <n v="3"/>
    <n v="1"/>
    <n v="0"/>
    <n v="0"/>
    <n v="0"/>
    <s v="0-2 yrs"/>
  </r>
  <r>
    <n v="29"/>
    <x v="1"/>
    <s v="Travel_Rarely"/>
    <n v="590"/>
    <x v="1"/>
    <n v="4"/>
    <n v="3"/>
    <s v="Technical Degree"/>
    <n v="1"/>
    <n v="1762"/>
    <n v="4"/>
    <s v="Female"/>
    <n v="91"/>
    <n v="2"/>
    <n v="1"/>
    <s v="Research Scientist"/>
    <x v="3"/>
    <s v="Divorced"/>
    <x v="971"/>
    <n v="10007"/>
    <n v="1"/>
    <s v="Y"/>
    <s v="No"/>
    <n v="13"/>
    <n v="3"/>
    <n v="3"/>
    <n v="80"/>
    <n v="1"/>
    <n v="1"/>
    <n v="2"/>
    <n v="3"/>
    <n v="1"/>
    <n v="0"/>
    <n v="0"/>
    <n v="0"/>
    <s v="0-2 yrs"/>
  </r>
  <r>
    <n v="30"/>
    <x v="1"/>
    <s v="Travel_Rarely"/>
    <n v="305"/>
    <x v="1"/>
    <n v="16"/>
    <n v="3"/>
    <s v="Life Sciences"/>
    <n v="1"/>
    <n v="1763"/>
    <n v="3"/>
    <s v="Male"/>
    <n v="58"/>
    <n v="4"/>
    <n v="2"/>
    <s v="Healthcare Representative"/>
    <x v="2"/>
    <s v="Married"/>
    <x v="1167"/>
    <n v="9128"/>
    <n v="3"/>
    <s v="Y"/>
    <s v="No"/>
    <n v="16"/>
    <n v="3"/>
    <n v="3"/>
    <n v="80"/>
    <n v="1"/>
    <n v="10"/>
    <n v="3"/>
    <n v="3"/>
    <n v="7"/>
    <n v="0"/>
    <n v="1"/>
    <n v="7"/>
    <s v="5+ yrs"/>
  </r>
  <r>
    <n v="32"/>
    <x v="1"/>
    <s v="Non-Travel"/>
    <n v="953"/>
    <x v="1"/>
    <n v="5"/>
    <n v="4"/>
    <s v="Technical Degree"/>
    <n v="1"/>
    <n v="1764"/>
    <n v="2"/>
    <s v="Male"/>
    <n v="65"/>
    <n v="3"/>
    <n v="1"/>
    <s v="Research Scientist"/>
    <x v="1"/>
    <s v="Single"/>
    <x v="1168"/>
    <n v="17674"/>
    <n v="2"/>
    <s v="Y"/>
    <s v="No"/>
    <n v="14"/>
    <n v="3"/>
    <n v="2"/>
    <n v="80"/>
    <n v="0"/>
    <n v="12"/>
    <n v="3"/>
    <n v="3"/>
    <n v="7"/>
    <n v="7"/>
    <n v="0"/>
    <n v="7"/>
    <s v="5+ yrs"/>
  </r>
  <r>
    <n v="38"/>
    <x v="1"/>
    <s v="Travel_Rarely"/>
    <n v="833"/>
    <x v="1"/>
    <n v="18"/>
    <n v="3"/>
    <s v="Medical"/>
    <n v="1"/>
    <n v="1766"/>
    <n v="2"/>
    <s v="Male"/>
    <n v="60"/>
    <n v="1"/>
    <n v="2"/>
    <s v="Healthcare Representative"/>
    <x v="0"/>
    <s v="Married"/>
    <x v="1169"/>
    <n v="24539"/>
    <n v="3"/>
    <s v="Y"/>
    <s v="Yes"/>
    <n v="16"/>
    <n v="3"/>
    <n v="3"/>
    <n v="80"/>
    <n v="1"/>
    <n v="15"/>
    <n v="2"/>
    <n v="3"/>
    <n v="1"/>
    <n v="0"/>
    <n v="1"/>
    <n v="0"/>
    <s v="0-2 yrs"/>
  </r>
  <r>
    <n v="43"/>
    <x v="0"/>
    <s v="Travel_Frequently"/>
    <n v="807"/>
    <x v="1"/>
    <n v="17"/>
    <n v="3"/>
    <s v="Technical Degree"/>
    <n v="1"/>
    <n v="1767"/>
    <n v="3"/>
    <s v="Male"/>
    <n v="38"/>
    <n v="2"/>
    <n v="1"/>
    <s v="Research Scientist"/>
    <x v="2"/>
    <s v="Married"/>
    <x v="1170"/>
    <n v="15587"/>
    <n v="9"/>
    <s v="Y"/>
    <s v="Yes"/>
    <n v="16"/>
    <n v="3"/>
    <n v="4"/>
    <n v="80"/>
    <n v="1"/>
    <n v="6"/>
    <n v="4"/>
    <n v="3"/>
    <n v="1"/>
    <n v="0"/>
    <n v="0"/>
    <n v="0"/>
    <s v="0-2 yrs"/>
  </r>
  <r>
    <n v="42"/>
    <x v="1"/>
    <s v="Travel_Rarely"/>
    <n v="855"/>
    <x v="1"/>
    <n v="12"/>
    <n v="3"/>
    <s v="Medical"/>
    <n v="1"/>
    <n v="1768"/>
    <n v="2"/>
    <s v="Male"/>
    <n v="57"/>
    <n v="3"/>
    <n v="1"/>
    <s v="Laboratory Technician"/>
    <x v="1"/>
    <s v="Divorced"/>
    <x v="1171"/>
    <n v="8952"/>
    <n v="8"/>
    <s v="Y"/>
    <s v="No"/>
    <n v="22"/>
    <n v="4"/>
    <n v="2"/>
    <n v="80"/>
    <n v="3"/>
    <n v="7"/>
    <n v="6"/>
    <n v="2"/>
    <n v="5"/>
    <n v="3"/>
    <n v="0"/>
    <n v="4"/>
    <s v="3-5 yrs"/>
  </r>
  <r>
    <n v="55"/>
    <x v="1"/>
    <s v="Travel_Rarely"/>
    <n v="478"/>
    <x v="1"/>
    <n v="2"/>
    <n v="3"/>
    <s v="Medical"/>
    <n v="1"/>
    <n v="1770"/>
    <n v="3"/>
    <s v="Male"/>
    <n v="60"/>
    <n v="2"/>
    <n v="5"/>
    <s v="Research Director"/>
    <x v="3"/>
    <s v="Married"/>
    <x v="1172"/>
    <n v="19805"/>
    <n v="8"/>
    <s v="Y"/>
    <s v="No"/>
    <n v="12"/>
    <n v="3"/>
    <n v="2"/>
    <n v="80"/>
    <n v="3"/>
    <n v="34"/>
    <n v="2"/>
    <n v="3"/>
    <n v="1"/>
    <n v="0"/>
    <n v="0"/>
    <n v="0"/>
    <s v="0-2 yrs"/>
  </r>
  <r>
    <n v="33"/>
    <x v="1"/>
    <s v="Non-Travel"/>
    <n v="775"/>
    <x v="1"/>
    <n v="4"/>
    <n v="3"/>
    <s v="Technical Degree"/>
    <n v="1"/>
    <n v="1771"/>
    <n v="4"/>
    <s v="Male"/>
    <n v="90"/>
    <n v="3"/>
    <n v="2"/>
    <s v="Research Scientist"/>
    <x v="1"/>
    <s v="Divorced"/>
    <x v="1173"/>
    <n v="6194"/>
    <n v="5"/>
    <s v="Y"/>
    <s v="No"/>
    <n v="15"/>
    <n v="3"/>
    <n v="4"/>
    <n v="80"/>
    <n v="2"/>
    <n v="11"/>
    <n v="2"/>
    <n v="2"/>
    <n v="9"/>
    <n v="8"/>
    <n v="1"/>
    <n v="7"/>
    <s v="5+ yrs"/>
  </r>
  <r>
    <n v="41"/>
    <x v="1"/>
    <s v="Travel_Rarely"/>
    <n v="548"/>
    <x v="1"/>
    <n v="9"/>
    <n v="4"/>
    <s v="Life Sciences"/>
    <n v="1"/>
    <n v="1772"/>
    <n v="3"/>
    <s v="Male"/>
    <n v="94"/>
    <n v="3"/>
    <n v="1"/>
    <s v="Laboratory Technician"/>
    <x v="3"/>
    <s v="Divorced"/>
    <x v="1174"/>
    <n v="20520"/>
    <n v="1"/>
    <s v="Y"/>
    <s v="No"/>
    <n v="20"/>
    <n v="4"/>
    <n v="2"/>
    <n v="80"/>
    <n v="2"/>
    <n v="5"/>
    <n v="2"/>
    <n v="3"/>
    <n v="5"/>
    <n v="3"/>
    <n v="0"/>
    <n v="4"/>
    <s v="3-5 yrs"/>
  </r>
  <r>
    <n v="34"/>
    <x v="1"/>
    <s v="Non-Travel"/>
    <n v="1375"/>
    <x v="0"/>
    <n v="10"/>
    <n v="3"/>
    <s v="Life Sciences"/>
    <n v="1"/>
    <n v="1774"/>
    <n v="4"/>
    <s v="Male"/>
    <n v="87"/>
    <n v="3"/>
    <n v="2"/>
    <s v="Sales Executive"/>
    <x v="2"/>
    <s v="Divorced"/>
    <x v="1175"/>
    <n v="12313"/>
    <n v="1"/>
    <s v="Y"/>
    <s v="Yes"/>
    <n v="14"/>
    <n v="3"/>
    <n v="3"/>
    <n v="80"/>
    <n v="1"/>
    <n v="15"/>
    <n v="3"/>
    <n v="3"/>
    <n v="15"/>
    <n v="14"/>
    <n v="0"/>
    <n v="7"/>
    <s v="5+ yrs"/>
  </r>
  <r>
    <n v="53"/>
    <x v="1"/>
    <s v="Non-Travel"/>
    <n v="661"/>
    <x v="1"/>
    <n v="1"/>
    <n v="4"/>
    <s v="Medical"/>
    <n v="1"/>
    <n v="1775"/>
    <n v="1"/>
    <s v="Female"/>
    <n v="60"/>
    <n v="2"/>
    <n v="4"/>
    <s v="Manufacturing Director"/>
    <x v="2"/>
    <s v="Married"/>
    <x v="1176"/>
    <n v="22308"/>
    <n v="4"/>
    <s v="Y"/>
    <s v="Yes"/>
    <n v="20"/>
    <n v="4"/>
    <n v="4"/>
    <n v="80"/>
    <n v="3"/>
    <n v="27"/>
    <n v="2"/>
    <n v="2"/>
    <n v="3"/>
    <n v="2"/>
    <n v="0"/>
    <n v="2"/>
    <s v="3-5 yrs"/>
  </r>
  <r>
    <n v="43"/>
    <x v="1"/>
    <s v="Travel_Rarely"/>
    <n v="244"/>
    <x v="2"/>
    <n v="2"/>
    <n v="3"/>
    <s v="Life Sciences"/>
    <n v="1"/>
    <n v="1778"/>
    <n v="2"/>
    <s v="Male"/>
    <n v="97"/>
    <n v="3"/>
    <n v="1"/>
    <s v="Human Resources"/>
    <x v="0"/>
    <s v="Single"/>
    <x v="1177"/>
    <n v="5033"/>
    <n v="0"/>
    <s v="Y"/>
    <s v="No"/>
    <n v="13"/>
    <n v="3"/>
    <n v="2"/>
    <n v="80"/>
    <n v="0"/>
    <n v="10"/>
    <n v="5"/>
    <n v="3"/>
    <n v="9"/>
    <n v="7"/>
    <n v="1"/>
    <n v="8"/>
    <s v="5+ yrs"/>
  </r>
  <r>
    <n v="34"/>
    <x v="1"/>
    <s v="Travel_Rarely"/>
    <n v="511"/>
    <x v="0"/>
    <n v="3"/>
    <n v="2"/>
    <s v="Life Sciences"/>
    <n v="1"/>
    <n v="1779"/>
    <n v="4"/>
    <s v="Female"/>
    <n v="32"/>
    <n v="1"/>
    <n v="2"/>
    <s v="Sales Executive"/>
    <x v="0"/>
    <s v="Single"/>
    <x v="1178"/>
    <n v="25353"/>
    <n v="5"/>
    <s v="Y"/>
    <s v="No"/>
    <n v="12"/>
    <n v="3"/>
    <n v="1"/>
    <n v="80"/>
    <n v="0"/>
    <n v="6"/>
    <n v="3"/>
    <n v="3"/>
    <n v="2"/>
    <n v="2"/>
    <n v="2"/>
    <n v="2"/>
    <s v="0-2 yrs"/>
  </r>
  <r>
    <n v="21"/>
    <x v="0"/>
    <s v="Travel_Rarely"/>
    <n v="337"/>
    <x v="0"/>
    <n v="7"/>
    <n v="1"/>
    <s v="Marketing"/>
    <n v="1"/>
    <n v="1780"/>
    <n v="2"/>
    <s v="Male"/>
    <n v="31"/>
    <n v="3"/>
    <n v="1"/>
    <s v="Sales Representative"/>
    <x v="1"/>
    <s v="Single"/>
    <x v="1179"/>
    <n v="4567"/>
    <n v="1"/>
    <s v="Y"/>
    <s v="No"/>
    <n v="13"/>
    <n v="3"/>
    <n v="2"/>
    <n v="80"/>
    <n v="0"/>
    <n v="1"/>
    <n v="3"/>
    <n v="3"/>
    <n v="1"/>
    <n v="0"/>
    <n v="1"/>
    <n v="0"/>
    <s v="0-2 yrs"/>
  </r>
  <r>
    <n v="38"/>
    <x v="1"/>
    <s v="Travel_Rarely"/>
    <n v="1153"/>
    <x v="1"/>
    <n v="6"/>
    <n v="2"/>
    <s v="Other"/>
    <n v="1"/>
    <n v="1782"/>
    <n v="4"/>
    <s v="Female"/>
    <n v="40"/>
    <n v="2"/>
    <n v="1"/>
    <s v="Laboratory Technician"/>
    <x v="2"/>
    <s v="Married"/>
    <x v="1180"/>
    <n v="16376"/>
    <n v="1"/>
    <s v="Y"/>
    <s v="No"/>
    <n v="11"/>
    <n v="3"/>
    <n v="2"/>
    <n v="80"/>
    <n v="1"/>
    <n v="5"/>
    <n v="3"/>
    <n v="3"/>
    <n v="5"/>
    <n v="4"/>
    <n v="0"/>
    <n v="4"/>
    <s v="3-5 yrs"/>
  </r>
  <r>
    <n v="22"/>
    <x v="0"/>
    <s v="Travel_Rarely"/>
    <n v="1294"/>
    <x v="1"/>
    <n v="8"/>
    <n v="1"/>
    <s v="Medical"/>
    <n v="1"/>
    <n v="1783"/>
    <n v="3"/>
    <s v="Female"/>
    <n v="79"/>
    <n v="3"/>
    <n v="1"/>
    <s v="Laboratory Technician"/>
    <x v="3"/>
    <s v="Married"/>
    <x v="1181"/>
    <n v="15999"/>
    <n v="1"/>
    <s v="Y"/>
    <s v="Yes"/>
    <n v="17"/>
    <n v="3"/>
    <n v="3"/>
    <n v="80"/>
    <n v="0"/>
    <n v="1"/>
    <n v="6"/>
    <n v="3"/>
    <n v="1"/>
    <n v="0"/>
    <n v="0"/>
    <n v="0"/>
    <s v="0-2 yrs"/>
  </r>
  <r>
    <n v="31"/>
    <x v="1"/>
    <s v="Travel_Rarely"/>
    <n v="196"/>
    <x v="0"/>
    <n v="29"/>
    <n v="4"/>
    <s v="Marketing"/>
    <n v="1"/>
    <n v="1784"/>
    <n v="1"/>
    <s v="Female"/>
    <n v="91"/>
    <n v="2"/>
    <n v="2"/>
    <s v="Sales Executive"/>
    <x v="0"/>
    <s v="Married"/>
    <x v="1182"/>
    <n v="13402"/>
    <n v="1"/>
    <s v="Y"/>
    <s v="No"/>
    <n v="14"/>
    <n v="3"/>
    <n v="1"/>
    <n v="80"/>
    <n v="2"/>
    <n v="13"/>
    <n v="3"/>
    <n v="3"/>
    <n v="12"/>
    <n v="7"/>
    <n v="5"/>
    <n v="7"/>
    <s v="5+ yrs"/>
  </r>
  <r>
    <n v="51"/>
    <x v="1"/>
    <s v="Travel_Rarely"/>
    <n v="942"/>
    <x v="1"/>
    <n v="3"/>
    <n v="3"/>
    <s v="Technical Degree"/>
    <n v="1"/>
    <n v="1786"/>
    <n v="1"/>
    <s v="Female"/>
    <n v="53"/>
    <n v="3"/>
    <n v="3"/>
    <s v="Manager"/>
    <x v="2"/>
    <s v="Married"/>
    <x v="1183"/>
    <n v="22984"/>
    <n v="2"/>
    <s v="Y"/>
    <s v="No"/>
    <n v="11"/>
    <n v="3"/>
    <n v="4"/>
    <n v="80"/>
    <n v="0"/>
    <n v="15"/>
    <n v="2"/>
    <n v="3"/>
    <n v="2"/>
    <n v="2"/>
    <n v="2"/>
    <n v="2"/>
    <s v="0-2 yrs"/>
  </r>
  <r>
    <n v="37"/>
    <x v="1"/>
    <s v="Travel_Rarely"/>
    <n v="589"/>
    <x v="0"/>
    <n v="9"/>
    <n v="2"/>
    <s v="Marketing"/>
    <n v="1"/>
    <n v="1787"/>
    <n v="2"/>
    <s v="Male"/>
    <n v="46"/>
    <n v="2"/>
    <n v="2"/>
    <s v="Sales Executive"/>
    <x v="1"/>
    <s v="Married"/>
    <x v="1184"/>
    <n v="8800"/>
    <n v="1"/>
    <s v="Y"/>
    <s v="No"/>
    <n v="14"/>
    <n v="3"/>
    <n v="1"/>
    <n v="80"/>
    <n v="2"/>
    <n v="5"/>
    <n v="2"/>
    <n v="3"/>
    <n v="5"/>
    <n v="2"/>
    <n v="0"/>
    <n v="3"/>
    <s v="3-5 yrs"/>
  </r>
  <r>
    <n v="46"/>
    <x v="1"/>
    <s v="Travel_Rarely"/>
    <n v="734"/>
    <x v="1"/>
    <n v="2"/>
    <n v="4"/>
    <s v="Medical"/>
    <n v="1"/>
    <n v="1789"/>
    <n v="3"/>
    <s v="Male"/>
    <n v="46"/>
    <n v="3"/>
    <n v="5"/>
    <s v="Research Director"/>
    <x v="0"/>
    <s v="Divorced"/>
    <x v="1185"/>
    <n v="14218"/>
    <n v="7"/>
    <s v="Y"/>
    <s v="Yes"/>
    <n v="17"/>
    <n v="3"/>
    <n v="3"/>
    <n v="80"/>
    <n v="1"/>
    <n v="24"/>
    <n v="3"/>
    <n v="3"/>
    <n v="2"/>
    <n v="1"/>
    <n v="2"/>
    <n v="2"/>
    <s v="0-2 yrs"/>
  </r>
  <r>
    <n v="36"/>
    <x v="1"/>
    <s v="Travel_Rarely"/>
    <n v="1383"/>
    <x v="1"/>
    <n v="10"/>
    <n v="3"/>
    <s v="Life Sciences"/>
    <n v="1"/>
    <n v="1790"/>
    <n v="4"/>
    <s v="Male"/>
    <n v="90"/>
    <n v="3"/>
    <n v="3"/>
    <s v="Healthcare Representative"/>
    <x v="3"/>
    <s v="Married"/>
    <x v="1186"/>
    <n v="25949"/>
    <n v="7"/>
    <s v="Y"/>
    <s v="Yes"/>
    <n v="13"/>
    <n v="3"/>
    <n v="4"/>
    <n v="80"/>
    <n v="1"/>
    <n v="15"/>
    <n v="1"/>
    <n v="3"/>
    <n v="12"/>
    <n v="8"/>
    <n v="5"/>
    <n v="7"/>
    <s v="5+ yrs"/>
  </r>
  <r>
    <n v="44"/>
    <x v="0"/>
    <s v="Travel_Frequently"/>
    <n v="429"/>
    <x v="1"/>
    <n v="1"/>
    <n v="2"/>
    <s v="Medical"/>
    <n v="1"/>
    <n v="1792"/>
    <n v="3"/>
    <s v="Male"/>
    <n v="99"/>
    <n v="3"/>
    <n v="1"/>
    <s v="Research Scientist"/>
    <x v="1"/>
    <s v="Divorced"/>
    <x v="531"/>
    <n v="11092"/>
    <n v="1"/>
    <s v="Y"/>
    <s v="Yes"/>
    <n v="12"/>
    <n v="3"/>
    <n v="3"/>
    <n v="80"/>
    <n v="3"/>
    <n v="6"/>
    <n v="2"/>
    <n v="2"/>
    <n v="5"/>
    <n v="3"/>
    <n v="2"/>
    <n v="3"/>
    <s v="3-5 yrs"/>
  </r>
  <r>
    <n v="37"/>
    <x v="1"/>
    <s v="Travel_Rarely"/>
    <n v="1239"/>
    <x v="2"/>
    <n v="8"/>
    <n v="2"/>
    <s v="Other"/>
    <n v="1"/>
    <n v="1794"/>
    <n v="3"/>
    <s v="Male"/>
    <n v="89"/>
    <n v="3"/>
    <n v="2"/>
    <s v="Human Resources"/>
    <x v="1"/>
    <s v="Divorced"/>
    <x v="1187"/>
    <n v="12832"/>
    <n v="2"/>
    <s v="Y"/>
    <s v="No"/>
    <n v="13"/>
    <n v="3"/>
    <n v="3"/>
    <n v="80"/>
    <n v="0"/>
    <n v="19"/>
    <n v="4"/>
    <n v="2"/>
    <n v="10"/>
    <n v="0"/>
    <n v="4"/>
    <n v="7"/>
    <s v="5+ yrs"/>
  </r>
  <r>
    <n v="35"/>
    <x v="0"/>
    <s v="Travel_Rarely"/>
    <n v="303"/>
    <x v="0"/>
    <n v="27"/>
    <n v="3"/>
    <s v="Life Sciences"/>
    <n v="1"/>
    <n v="1797"/>
    <n v="3"/>
    <s v="Male"/>
    <n v="84"/>
    <n v="3"/>
    <n v="2"/>
    <s v="Sales Executive"/>
    <x v="0"/>
    <s v="Single"/>
    <x v="1188"/>
    <n v="13492"/>
    <n v="1"/>
    <s v="Y"/>
    <s v="Yes"/>
    <n v="18"/>
    <n v="3"/>
    <n v="4"/>
    <n v="80"/>
    <n v="0"/>
    <n v="10"/>
    <n v="2"/>
    <n v="3"/>
    <n v="10"/>
    <n v="7"/>
    <n v="7"/>
    <n v="7"/>
    <s v="5+ yrs"/>
  </r>
  <r>
    <n v="33"/>
    <x v="1"/>
    <s v="Travel_Rarely"/>
    <n v="867"/>
    <x v="1"/>
    <n v="8"/>
    <n v="4"/>
    <s v="Life Sciences"/>
    <n v="1"/>
    <n v="1798"/>
    <n v="4"/>
    <s v="Male"/>
    <n v="90"/>
    <n v="4"/>
    <n v="1"/>
    <s v="Research Scientist"/>
    <x v="3"/>
    <s v="Married"/>
    <x v="1189"/>
    <n v="6076"/>
    <n v="6"/>
    <s v="Y"/>
    <s v="No"/>
    <n v="19"/>
    <n v="3"/>
    <n v="2"/>
    <n v="80"/>
    <n v="1"/>
    <n v="14"/>
    <n v="1"/>
    <n v="3"/>
    <n v="10"/>
    <n v="8"/>
    <n v="7"/>
    <n v="6"/>
    <s v="5+ yrs"/>
  </r>
  <r>
    <n v="28"/>
    <x v="1"/>
    <s v="Travel_Rarely"/>
    <n v="1181"/>
    <x v="1"/>
    <n v="1"/>
    <n v="3"/>
    <s v="Life Sciences"/>
    <n v="1"/>
    <n v="1799"/>
    <n v="3"/>
    <s v="Male"/>
    <n v="82"/>
    <n v="3"/>
    <n v="1"/>
    <s v="Research Scientist"/>
    <x v="0"/>
    <s v="Married"/>
    <x v="633"/>
    <n v="5531"/>
    <n v="1"/>
    <s v="Y"/>
    <s v="No"/>
    <n v="11"/>
    <n v="3"/>
    <n v="3"/>
    <n v="80"/>
    <n v="1"/>
    <n v="5"/>
    <n v="6"/>
    <n v="4"/>
    <n v="5"/>
    <n v="3"/>
    <n v="0"/>
    <n v="3"/>
    <s v="3-5 yrs"/>
  </r>
  <r>
    <n v="39"/>
    <x v="1"/>
    <s v="Travel_Rarely"/>
    <n v="1253"/>
    <x v="1"/>
    <n v="10"/>
    <n v="1"/>
    <s v="Medical"/>
    <n v="1"/>
    <n v="1800"/>
    <n v="3"/>
    <s v="Male"/>
    <n v="65"/>
    <n v="3"/>
    <n v="3"/>
    <s v="Research Director"/>
    <x v="2"/>
    <s v="Single"/>
    <x v="1190"/>
    <n v="7914"/>
    <n v="7"/>
    <s v="Y"/>
    <s v="No"/>
    <n v="21"/>
    <n v="4"/>
    <n v="3"/>
    <n v="80"/>
    <n v="0"/>
    <n v="9"/>
    <n v="3"/>
    <n v="3"/>
    <n v="4"/>
    <n v="3"/>
    <n v="2"/>
    <n v="2"/>
    <s v="3-5 yrs"/>
  </r>
  <r>
    <n v="46"/>
    <x v="1"/>
    <s v="Non-Travel"/>
    <n v="849"/>
    <x v="0"/>
    <n v="26"/>
    <n v="2"/>
    <s v="Life Sciences"/>
    <n v="1"/>
    <n v="1801"/>
    <n v="2"/>
    <s v="Male"/>
    <n v="98"/>
    <n v="2"/>
    <n v="2"/>
    <s v="Sales Executive"/>
    <x v="1"/>
    <s v="Single"/>
    <x v="1191"/>
    <n v="25166"/>
    <n v="8"/>
    <s v="Y"/>
    <s v="No"/>
    <n v="15"/>
    <n v="3"/>
    <n v="3"/>
    <n v="80"/>
    <n v="0"/>
    <n v="6"/>
    <n v="3"/>
    <n v="3"/>
    <n v="2"/>
    <n v="2"/>
    <n v="2"/>
    <n v="2"/>
    <s v="0-2 yrs"/>
  </r>
  <r>
    <n v="40"/>
    <x v="1"/>
    <s v="Travel_Rarely"/>
    <n v="616"/>
    <x v="1"/>
    <n v="2"/>
    <n v="2"/>
    <s v="Life Sciences"/>
    <n v="1"/>
    <n v="1802"/>
    <n v="3"/>
    <s v="Female"/>
    <n v="99"/>
    <n v="3"/>
    <n v="1"/>
    <s v="Laboratory Technician"/>
    <x v="3"/>
    <s v="Married"/>
    <x v="1192"/>
    <n v="25605"/>
    <n v="4"/>
    <s v="Y"/>
    <s v="No"/>
    <n v="17"/>
    <n v="3"/>
    <n v="4"/>
    <n v="80"/>
    <n v="1"/>
    <n v="7"/>
    <n v="5"/>
    <n v="2"/>
    <n v="4"/>
    <n v="3"/>
    <n v="0"/>
    <n v="2"/>
    <s v="3-5 yrs"/>
  </r>
  <r>
    <n v="42"/>
    <x v="1"/>
    <s v="Travel_Rarely"/>
    <n v="1128"/>
    <x v="1"/>
    <n v="13"/>
    <n v="3"/>
    <s v="Medical"/>
    <n v="1"/>
    <n v="1803"/>
    <n v="2"/>
    <s v="Male"/>
    <n v="95"/>
    <n v="4"/>
    <n v="2"/>
    <s v="Healthcare Representative"/>
    <x v="3"/>
    <s v="Married"/>
    <x v="1193"/>
    <n v="5696"/>
    <n v="5"/>
    <s v="Y"/>
    <s v="No"/>
    <n v="18"/>
    <n v="3"/>
    <n v="3"/>
    <n v="80"/>
    <n v="2"/>
    <n v="10"/>
    <n v="2"/>
    <n v="2"/>
    <n v="0"/>
    <n v="0"/>
    <n v="0"/>
    <n v="0"/>
    <s v="0-2 yrs"/>
  </r>
  <r>
    <n v="35"/>
    <x v="1"/>
    <s v="Non-Travel"/>
    <n v="1180"/>
    <x v="1"/>
    <n v="2"/>
    <n v="2"/>
    <s v="Medical"/>
    <n v="1"/>
    <n v="1804"/>
    <n v="2"/>
    <s v="Male"/>
    <n v="90"/>
    <n v="3"/>
    <n v="2"/>
    <s v="Manufacturing Director"/>
    <x v="0"/>
    <s v="Divorced"/>
    <x v="1194"/>
    <n v="24442"/>
    <n v="2"/>
    <s v="Y"/>
    <s v="No"/>
    <n v="14"/>
    <n v="3"/>
    <n v="3"/>
    <n v="80"/>
    <n v="1"/>
    <n v="15"/>
    <n v="6"/>
    <n v="3"/>
    <n v="7"/>
    <n v="7"/>
    <n v="1"/>
    <n v="7"/>
    <s v="5+ yrs"/>
  </r>
  <r>
    <n v="38"/>
    <x v="1"/>
    <s v="Non-Travel"/>
    <n v="1336"/>
    <x v="2"/>
    <n v="2"/>
    <n v="3"/>
    <s v="Human Resources"/>
    <n v="1"/>
    <n v="1805"/>
    <n v="1"/>
    <s v="Male"/>
    <n v="100"/>
    <n v="3"/>
    <n v="1"/>
    <s v="Human Resources"/>
    <x v="1"/>
    <s v="Divorced"/>
    <x v="1195"/>
    <n v="7129"/>
    <n v="5"/>
    <s v="Y"/>
    <s v="No"/>
    <n v="13"/>
    <n v="3"/>
    <n v="4"/>
    <n v="80"/>
    <n v="3"/>
    <n v="13"/>
    <n v="3"/>
    <n v="3"/>
    <n v="11"/>
    <n v="10"/>
    <n v="3"/>
    <n v="8"/>
    <s v="5+ yrs"/>
  </r>
  <r>
    <n v="34"/>
    <x v="0"/>
    <s v="Travel_Frequently"/>
    <n v="234"/>
    <x v="1"/>
    <n v="9"/>
    <n v="4"/>
    <s v="Life Sciences"/>
    <n v="1"/>
    <n v="1807"/>
    <n v="4"/>
    <s v="Male"/>
    <n v="93"/>
    <n v="3"/>
    <n v="2"/>
    <s v="Laboratory Technician"/>
    <x v="3"/>
    <s v="Married"/>
    <x v="800"/>
    <n v="6208"/>
    <n v="4"/>
    <s v="Y"/>
    <s v="No"/>
    <n v="17"/>
    <n v="3"/>
    <n v="3"/>
    <n v="80"/>
    <n v="1"/>
    <n v="11"/>
    <n v="3"/>
    <n v="2"/>
    <n v="7"/>
    <n v="1"/>
    <n v="0"/>
    <n v="7"/>
    <s v="5+ yrs"/>
  </r>
  <r>
    <n v="37"/>
    <x v="0"/>
    <s v="Travel_Rarely"/>
    <n v="370"/>
    <x v="1"/>
    <n v="10"/>
    <n v="4"/>
    <s v="Medical"/>
    <n v="1"/>
    <n v="1809"/>
    <n v="4"/>
    <s v="Male"/>
    <n v="58"/>
    <n v="3"/>
    <n v="2"/>
    <s v="Manufacturing Director"/>
    <x v="3"/>
    <s v="Single"/>
    <x v="1196"/>
    <n v="4992"/>
    <n v="1"/>
    <s v="Y"/>
    <s v="No"/>
    <n v="15"/>
    <n v="3"/>
    <n v="2"/>
    <n v="80"/>
    <n v="0"/>
    <n v="10"/>
    <n v="4"/>
    <n v="1"/>
    <n v="10"/>
    <n v="3"/>
    <n v="0"/>
    <n v="8"/>
    <s v="5+ yrs"/>
  </r>
  <r>
    <n v="39"/>
    <x v="1"/>
    <s v="Travel_Frequently"/>
    <n v="766"/>
    <x v="0"/>
    <n v="20"/>
    <n v="3"/>
    <s v="Life Sciences"/>
    <n v="1"/>
    <n v="1812"/>
    <n v="3"/>
    <s v="Male"/>
    <n v="83"/>
    <n v="3"/>
    <n v="2"/>
    <s v="Sales Executive"/>
    <x v="0"/>
    <s v="Divorced"/>
    <x v="1197"/>
    <n v="19188"/>
    <n v="2"/>
    <s v="Y"/>
    <s v="No"/>
    <n v="18"/>
    <n v="3"/>
    <n v="4"/>
    <n v="80"/>
    <n v="1"/>
    <n v="7"/>
    <n v="6"/>
    <n v="3"/>
    <n v="2"/>
    <n v="1"/>
    <n v="2"/>
    <n v="2"/>
    <s v="0-2 yrs"/>
  </r>
  <r>
    <n v="43"/>
    <x v="1"/>
    <s v="Non-Travel"/>
    <n v="343"/>
    <x v="1"/>
    <n v="9"/>
    <n v="3"/>
    <s v="Life Sciences"/>
    <n v="1"/>
    <n v="1813"/>
    <n v="1"/>
    <s v="Male"/>
    <n v="52"/>
    <n v="3"/>
    <n v="1"/>
    <s v="Research Scientist"/>
    <x v="2"/>
    <s v="Single"/>
    <x v="1198"/>
    <n v="24978"/>
    <n v="4"/>
    <s v="Y"/>
    <s v="No"/>
    <n v="13"/>
    <n v="3"/>
    <n v="3"/>
    <n v="80"/>
    <n v="0"/>
    <n v="7"/>
    <n v="2"/>
    <n v="2"/>
    <n v="3"/>
    <n v="2"/>
    <n v="1"/>
    <n v="2"/>
    <s v="3-5 yrs"/>
  </r>
  <r>
    <n v="41"/>
    <x v="1"/>
    <s v="Travel_Rarely"/>
    <n v="447"/>
    <x v="1"/>
    <n v="5"/>
    <n v="3"/>
    <s v="Life Sciences"/>
    <n v="1"/>
    <n v="1814"/>
    <n v="2"/>
    <s v="Male"/>
    <n v="85"/>
    <n v="4"/>
    <n v="2"/>
    <s v="Healthcare Representative"/>
    <x v="1"/>
    <s v="Single"/>
    <x v="1199"/>
    <n v="15530"/>
    <n v="3"/>
    <s v="Y"/>
    <s v="No"/>
    <n v="12"/>
    <n v="3"/>
    <n v="1"/>
    <n v="80"/>
    <n v="0"/>
    <n v="11"/>
    <n v="3"/>
    <n v="1"/>
    <n v="3"/>
    <n v="2"/>
    <n v="1"/>
    <n v="2"/>
    <s v="3-5 yrs"/>
  </r>
  <r>
    <n v="41"/>
    <x v="1"/>
    <s v="Travel_Rarely"/>
    <n v="796"/>
    <x v="0"/>
    <n v="4"/>
    <n v="1"/>
    <s v="Marketing"/>
    <n v="1"/>
    <n v="1815"/>
    <n v="3"/>
    <s v="Female"/>
    <n v="81"/>
    <n v="3"/>
    <n v="3"/>
    <s v="Sales Executive"/>
    <x v="2"/>
    <s v="Divorced"/>
    <x v="1200"/>
    <n v="26458"/>
    <n v="0"/>
    <s v="Y"/>
    <s v="Yes"/>
    <n v="13"/>
    <n v="3"/>
    <n v="4"/>
    <n v="80"/>
    <n v="1"/>
    <n v="23"/>
    <n v="3"/>
    <n v="4"/>
    <n v="22"/>
    <n v="14"/>
    <n v="13"/>
    <n v="5"/>
    <s v="5+ yrs"/>
  </r>
  <r>
    <n v="30"/>
    <x v="1"/>
    <s v="Travel_Rarely"/>
    <n v="1092"/>
    <x v="1"/>
    <n v="10"/>
    <n v="3"/>
    <s v="Medical"/>
    <n v="1"/>
    <n v="1816"/>
    <n v="1"/>
    <s v="Female"/>
    <n v="64"/>
    <n v="3"/>
    <n v="3"/>
    <s v="Manufacturing Director"/>
    <x v="2"/>
    <s v="Single"/>
    <x v="1201"/>
    <n v="2739"/>
    <n v="9"/>
    <s v="Y"/>
    <s v="No"/>
    <n v="14"/>
    <n v="3"/>
    <n v="2"/>
    <n v="80"/>
    <n v="0"/>
    <n v="9"/>
    <n v="3"/>
    <n v="3"/>
    <n v="7"/>
    <n v="7"/>
    <n v="0"/>
    <n v="2"/>
    <s v="5+ yrs"/>
  </r>
  <r>
    <n v="26"/>
    <x v="0"/>
    <s v="Travel_Rarely"/>
    <n v="920"/>
    <x v="2"/>
    <n v="20"/>
    <n v="2"/>
    <s v="Medical"/>
    <n v="1"/>
    <n v="1818"/>
    <n v="4"/>
    <s v="Female"/>
    <n v="69"/>
    <n v="3"/>
    <n v="1"/>
    <s v="Human Resources"/>
    <x v="1"/>
    <s v="Married"/>
    <x v="1202"/>
    <n v="6889"/>
    <n v="0"/>
    <s v="Y"/>
    <s v="Yes"/>
    <n v="11"/>
    <n v="3"/>
    <n v="3"/>
    <n v="80"/>
    <n v="0"/>
    <n v="6"/>
    <n v="3"/>
    <n v="3"/>
    <n v="5"/>
    <n v="1"/>
    <n v="1"/>
    <n v="4"/>
    <s v="3-5 yrs"/>
  </r>
  <r>
    <n v="46"/>
    <x v="0"/>
    <s v="Travel_Rarely"/>
    <n v="261"/>
    <x v="1"/>
    <n v="21"/>
    <n v="2"/>
    <s v="Medical"/>
    <n v="1"/>
    <n v="1821"/>
    <n v="4"/>
    <s v="Female"/>
    <n v="66"/>
    <n v="3"/>
    <n v="2"/>
    <s v="Healthcare Representative"/>
    <x v="1"/>
    <s v="Married"/>
    <x v="1203"/>
    <n v="10842"/>
    <n v="4"/>
    <s v="Y"/>
    <s v="No"/>
    <n v="22"/>
    <n v="4"/>
    <n v="4"/>
    <n v="80"/>
    <n v="1"/>
    <n v="13"/>
    <n v="2"/>
    <n v="4"/>
    <n v="9"/>
    <n v="7"/>
    <n v="3"/>
    <n v="7"/>
    <s v="5+ yrs"/>
  </r>
  <r>
    <n v="40"/>
    <x v="1"/>
    <s v="Travel_Rarely"/>
    <n v="1194"/>
    <x v="1"/>
    <n v="1"/>
    <n v="3"/>
    <s v="Life Sciences"/>
    <n v="1"/>
    <n v="1822"/>
    <n v="3"/>
    <s v="Female"/>
    <n v="52"/>
    <n v="3"/>
    <n v="2"/>
    <s v="Healthcare Representative"/>
    <x v="0"/>
    <s v="Divorced"/>
    <x v="1204"/>
    <n v="9060"/>
    <n v="4"/>
    <s v="Y"/>
    <s v="No"/>
    <n v="17"/>
    <n v="3"/>
    <n v="4"/>
    <n v="80"/>
    <n v="1"/>
    <n v="12"/>
    <n v="3"/>
    <n v="3"/>
    <n v="5"/>
    <n v="3"/>
    <n v="0"/>
    <n v="3"/>
    <s v="3-5 yrs"/>
  </r>
  <r>
    <n v="34"/>
    <x v="1"/>
    <s v="Travel_Rarely"/>
    <n v="810"/>
    <x v="0"/>
    <n v="8"/>
    <n v="2"/>
    <s v="Technical Degree"/>
    <n v="1"/>
    <n v="1823"/>
    <n v="2"/>
    <s v="Male"/>
    <n v="92"/>
    <n v="4"/>
    <n v="2"/>
    <s v="Sales Executive"/>
    <x v="2"/>
    <s v="Married"/>
    <x v="1205"/>
    <n v="22128"/>
    <n v="1"/>
    <s v="Y"/>
    <s v="No"/>
    <n v="21"/>
    <n v="4"/>
    <n v="3"/>
    <n v="80"/>
    <n v="2"/>
    <n v="10"/>
    <n v="5"/>
    <n v="3"/>
    <n v="10"/>
    <n v="8"/>
    <n v="4"/>
    <n v="8"/>
    <s v="5+ yrs"/>
  </r>
  <r>
    <n v="58"/>
    <x v="1"/>
    <s v="Non-Travel"/>
    <n v="350"/>
    <x v="0"/>
    <n v="2"/>
    <n v="3"/>
    <s v="Medical"/>
    <n v="1"/>
    <n v="1824"/>
    <n v="2"/>
    <s v="Male"/>
    <n v="52"/>
    <n v="3"/>
    <n v="4"/>
    <s v="Manager"/>
    <x v="1"/>
    <s v="Divorced"/>
    <x v="1206"/>
    <n v="22577"/>
    <n v="4"/>
    <s v="Y"/>
    <s v="No"/>
    <n v="22"/>
    <n v="4"/>
    <n v="4"/>
    <n v="80"/>
    <n v="1"/>
    <n v="37"/>
    <n v="0"/>
    <n v="2"/>
    <n v="16"/>
    <n v="9"/>
    <n v="14"/>
    <n v="14"/>
    <s v="5+ yrs"/>
  </r>
  <r>
    <n v="35"/>
    <x v="1"/>
    <s v="Travel_Rarely"/>
    <n v="185"/>
    <x v="1"/>
    <n v="23"/>
    <n v="4"/>
    <s v="Medical"/>
    <n v="1"/>
    <n v="1826"/>
    <n v="2"/>
    <s v="Male"/>
    <n v="91"/>
    <n v="1"/>
    <n v="1"/>
    <s v="Laboratory Technician"/>
    <x v="2"/>
    <s v="Married"/>
    <x v="1207"/>
    <n v="9696"/>
    <n v="0"/>
    <s v="Y"/>
    <s v="No"/>
    <n v="16"/>
    <n v="3"/>
    <n v="2"/>
    <n v="80"/>
    <n v="1"/>
    <n v="6"/>
    <n v="2"/>
    <n v="4"/>
    <n v="5"/>
    <n v="4"/>
    <n v="0"/>
    <n v="3"/>
    <s v="3-5 yrs"/>
  </r>
  <r>
    <n v="47"/>
    <x v="1"/>
    <s v="Travel_Rarely"/>
    <n v="1001"/>
    <x v="1"/>
    <n v="4"/>
    <n v="3"/>
    <s v="Life Sciences"/>
    <n v="1"/>
    <n v="1827"/>
    <n v="3"/>
    <s v="Female"/>
    <n v="92"/>
    <n v="2"/>
    <n v="3"/>
    <s v="Manufacturing Director"/>
    <x v="1"/>
    <s v="Divorced"/>
    <x v="1208"/>
    <n v="19271"/>
    <n v="8"/>
    <s v="Y"/>
    <s v="Yes"/>
    <n v="12"/>
    <n v="3"/>
    <n v="3"/>
    <n v="80"/>
    <n v="1"/>
    <n v="28"/>
    <n v="4"/>
    <n v="3"/>
    <n v="22"/>
    <n v="11"/>
    <n v="14"/>
    <n v="10"/>
    <s v="5+ yrs"/>
  </r>
  <r>
    <n v="40"/>
    <x v="1"/>
    <s v="Travel_Rarely"/>
    <n v="750"/>
    <x v="1"/>
    <n v="12"/>
    <n v="3"/>
    <s v="Life Sciences"/>
    <n v="1"/>
    <n v="1829"/>
    <n v="2"/>
    <s v="Female"/>
    <n v="47"/>
    <n v="3"/>
    <n v="2"/>
    <s v="Healthcare Representative"/>
    <x v="3"/>
    <s v="Divorced"/>
    <x v="1209"/>
    <n v="10748"/>
    <n v="2"/>
    <s v="Y"/>
    <s v="No"/>
    <n v="12"/>
    <n v="3"/>
    <n v="2"/>
    <n v="80"/>
    <n v="1"/>
    <n v="15"/>
    <n v="3"/>
    <n v="3"/>
    <n v="7"/>
    <n v="4"/>
    <n v="7"/>
    <n v="7"/>
    <s v="5+ yrs"/>
  </r>
  <r>
    <n v="54"/>
    <x v="1"/>
    <s v="Travel_Rarely"/>
    <n v="431"/>
    <x v="1"/>
    <n v="7"/>
    <n v="4"/>
    <s v="Medical"/>
    <n v="1"/>
    <n v="1830"/>
    <n v="4"/>
    <s v="Female"/>
    <n v="68"/>
    <n v="3"/>
    <n v="2"/>
    <s v="Research Scientist"/>
    <x v="0"/>
    <s v="Married"/>
    <x v="1210"/>
    <n v="15696"/>
    <n v="4"/>
    <s v="Y"/>
    <s v="No"/>
    <n v="15"/>
    <n v="3"/>
    <n v="2"/>
    <n v="80"/>
    <n v="1"/>
    <n v="14"/>
    <n v="2"/>
    <n v="2"/>
    <n v="7"/>
    <n v="1"/>
    <n v="1"/>
    <n v="7"/>
    <s v="5+ yrs"/>
  </r>
  <r>
    <n v="31"/>
    <x v="1"/>
    <s v="Travel_Frequently"/>
    <n v="1125"/>
    <x v="0"/>
    <n v="7"/>
    <n v="4"/>
    <s v="Marketing"/>
    <n v="1"/>
    <n v="1833"/>
    <n v="1"/>
    <s v="Female"/>
    <n v="68"/>
    <n v="3"/>
    <n v="3"/>
    <s v="Sales Executive"/>
    <x v="3"/>
    <s v="Married"/>
    <x v="1211"/>
    <n v="8277"/>
    <n v="2"/>
    <s v="Y"/>
    <s v="No"/>
    <n v="14"/>
    <n v="3"/>
    <n v="4"/>
    <n v="80"/>
    <n v="2"/>
    <n v="9"/>
    <n v="3"/>
    <n v="3"/>
    <n v="3"/>
    <n v="2"/>
    <n v="2"/>
    <n v="2"/>
    <s v="3-5 yrs"/>
  </r>
  <r>
    <n v="28"/>
    <x v="1"/>
    <s v="Travel_Rarely"/>
    <n v="1217"/>
    <x v="1"/>
    <n v="1"/>
    <n v="3"/>
    <s v="Medical"/>
    <n v="1"/>
    <n v="1834"/>
    <n v="3"/>
    <s v="Female"/>
    <n v="67"/>
    <n v="3"/>
    <n v="1"/>
    <s v="Research Scientist"/>
    <x v="3"/>
    <s v="Married"/>
    <x v="1212"/>
    <n v="12719"/>
    <n v="1"/>
    <s v="Y"/>
    <s v="No"/>
    <n v="25"/>
    <n v="4"/>
    <n v="3"/>
    <n v="80"/>
    <n v="1"/>
    <n v="3"/>
    <n v="3"/>
    <n v="3"/>
    <n v="3"/>
    <n v="2"/>
    <n v="1"/>
    <n v="2"/>
    <s v="3-5 yrs"/>
  </r>
  <r>
    <n v="38"/>
    <x v="1"/>
    <s v="Travel_Rarely"/>
    <n v="723"/>
    <x v="0"/>
    <n v="2"/>
    <n v="4"/>
    <s v="Marketing"/>
    <n v="1"/>
    <n v="1835"/>
    <n v="2"/>
    <s v="Female"/>
    <n v="77"/>
    <n v="1"/>
    <n v="2"/>
    <s v="Sales Representative"/>
    <x v="0"/>
    <s v="Married"/>
    <x v="517"/>
    <n v="4244"/>
    <n v="2"/>
    <s v="Y"/>
    <s v="Yes"/>
    <n v="20"/>
    <n v="4"/>
    <n v="1"/>
    <n v="80"/>
    <n v="2"/>
    <n v="20"/>
    <n v="4"/>
    <n v="2"/>
    <n v="4"/>
    <n v="2"/>
    <n v="0"/>
    <n v="3"/>
    <s v="3-5 yrs"/>
  </r>
  <r>
    <n v="26"/>
    <x v="1"/>
    <s v="Travel_Rarely"/>
    <n v="572"/>
    <x v="0"/>
    <n v="10"/>
    <n v="3"/>
    <s v="Medical"/>
    <n v="1"/>
    <n v="1836"/>
    <n v="3"/>
    <s v="Male"/>
    <n v="46"/>
    <n v="3"/>
    <n v="2"/>
    <s v="Sales Executive"/>
    <x v="0"/>
    <s v="Single"/>
    <x v="1213"/>
    <n v="9125"/>
    <n v="1"/>
    <s v="Y"/>
    <s v="No"/>
    <n v="13"/>
    <n v="3"/>
    <n v="1"/>
    <n v="80"/>
    <n v="0"/>
    <n v="5"/>
    <n v="4"/>
    <n v="3"/>
    <n v="5"/>
    <n v="3"/>
    <n v="1"/>
    <n v="2"/>
    <s v="3-5 yrs"/>
  </r>
  <r>
    <n v="58"/>
    <x v="1"/>
    <s v="Travel_Frequently"/>
    <n v="1216"/>
    <x v="1"/>
    <n v="15"/>
    <n v="4"/>
    <s v="Life Sciences"/>
    <n v="1"/>
    <n v="1837"/>
    <n v="1"/>
    <s v="Male"/>
    <n v="87"/>
    <n v="3"/>
    <n v="4"/>
    <s v="Research Director"/>
    <x v="2"/>
    <s v="Married"/>
    <x v="1214"/>
    <n v="21624"/>
    <n v="2"/>
    <s v="Y"/>
    <s v="Yes"/>
    <n v="14"/>
    <n v="3"/>
    <n v="2"/>
    <n v="80"/>
    <n v="0"/>
    <n v="23"/>
    <n v="3"/>
    <n v="3"/>
    <n v="2"/>
    <n v="2"/>
    <n v="2"/>
    <n v="2"/>
    <s v="0-2 yrs"/>
  </r>
  <r>
    <n v="18"/>
    <x v="1"/>
    <s v="Non-Travel"/>
    <n v="1431"/>
    <x v="1"/>
    <n v="14"/>
    <n v="3"/>
    <s v="Medical"/>
    <n v="1"/>
    <n v="1839"/>
    <n v="2"/>
    <s v="Female"/>
    <n v="33"/>
    <n v="3"/>
    <n v="1"/>
    <s v="Research Scientist"/>
    <x v="2"/>
    <s v="Single"/>
    <x v="1215"/>
    <n v="8018"/>
    <n v="1"/>
    <s v="Y"/>
    <s v="No"/>
    <n v="16"/>
    <n v="3"/>
    <n v="3"/>
    <n v="80"/>
    <n v="0"/>
    <n v="0"/>
    <n v="4"/>
    <n v="1"/>
    <n v="0"/>
    <n v="0"/>
    <n v="0"/>
    <n v="0"/>
    <s v="0-2 yrs"/>
  </r>
  <r>
    <n v="31"/>
    <x v="0"/>
    <s v="Travel_Rarely"/>
    <n v="359"/>
    <x v="2"/>
    <n v="18"/>
    <n v="5"/>
    <s v="Human Resources"/>
    <n v="1"/>
    <n v="1842"/>
    <n v="4"/>
    <s v="Male"/>
    <n v="89"/>
    <n v="4"/>
    <n v="1"/>
    <s v="Human Resources"/>
    <x v="3"/>
    <s v="Married"/>
    <x v="98"/>
    <n v="21495"/>
    <n v="0"/>
    <s v="Y"/>
    <s v="No"/>
    <n v="17"/>
    <n v="3"/>
    <n v="3"/>
    <n v="80"/>
    <n v="0"/>
    <n v="2"/>
    <n v="4"/>
    <n v="3"/>
    <n v="1"/>
    <n v="0"/>
    <n v="0"/>
    <n v="0"/>
    <s v="0-2 yrs"/>
  </r>
  <r>
    <n v="29"/>
    <x v="0"/>
    <s v="Travel_Rarely"/>
    <n v="350"/>
    <x v="2"/>
    <n v="13"/>
    <n v="3"/>
    <s v="Human Resources"/>
    <n v="1"/>
    <n v="1844"/>
    <n v="1"/>
    <s v="Male"/>
    <n v="56"/>
    <n v="2"/>
    <n v="1"/>
    <s v="Human Resources"/>
    <x v="3"/>
    <s v="Divorced"/>
    <x v="1216"/>
    <n v="3157"/>
    <n v="4"/>
    <s v="Y"/>
    <s v="Yes"/>
    <n v="15"/>
    <n v="3"/>
    <n v="4"/>
    <n v="80"/>
    <n v="3"/>
    <n v="4"/>
    <n v="3"/>
    <n v="3"/>
    <n v="2"/>
    <n v="2"/>
    <n v="2"/>
    <n v="0"/>
    <s v="0-2 yrs"/>
  </r>
  <r>
    <n v="45"/>
    <x v="1"/>
    <s v="Non-Travel"/>
    <n v="589"/>
    <x v="0"/>
    <n v="2"/>
    <n v="4"/>
    <s v="Life Sciences"/>
    <n v="1"/>
    <n v="1845"/>
    <n v="3"/>
    <s v="Female"/>
    <n v="67"/>
    <n v="3"/>
    <n v="2"/>
    <s v="Sales Executive"/>
    <x v="2"/>
    <s v="Married"/>
    <x v="1217"/>
    <n v="19665"/>
    <n v="4"/>
    <s v="Y"/>
    <s v="No"/>
    <n v="22"/>
    <n v="4"/>
    <n v="2"/>
    <n v="80"/>
    <n v="2"/>
    <n v="10"/>
    <n v="3"/>
    <n v="4"/>
    <n v="8"/>
    <n v="7"/>
    <n v="5"/>
    <n v="7"/>
    <s v="5+ yrs"/>
  </r>
  <r>
    <n v="36"/>
    <x v="1"/>
    <s v="Travel_Rarely"/>
    <n v="430"/>
    <x v="1"/>
    <n v="2"/>
    <n v="4"/>
    <s v="Other"/>
    <n v="1"/>
    <n v="1847"/>
    <n v="4"/>
    <s v="Female"/>
    <n v="73"/>
    <n v="3"/>
    <n v="2"/>
    <s v="Research Scientist"/>
    <x v="1"/>
    <s v="Married"/>
    <x v="1218"/>
    <n v="19573"/>
    <n v="4"/>
    <s v="Y"/>
    <s v="Yes"/>
    <n v="22"/>
    <n v="4"/>
    <n v="4"/>
    <n v="80"/>
    <n v="1"/>
    <n v="15"/>
    <n v="2"/>
    <n v="3"/>
    <n v="1"/>
    <n v="0"/>
    <n v="0"/>
    <n v="0"/>
    <s v="0-2 yrs"/>
  </r>
  <r>
    <n v="43"/>
    <x v="1"/>
    <s v="Travel_Frequently"/>
    <n v="1422"/>
    <x v="0"/>
    <n v="2"/>
    <n v="4"/>
    <s v="Life Sciences"/>
    <n v="1"/>
    <n v="1849"/>
    <n v="1"/>
    <s v="Male"/>
    <n v="92"/>
    <n v="3"/>
    <n v="2"/>
    <s v="Sales Executive"/>
    <x v="0"/>
    <s v="Married"/>
    <x v="1219"/>
    <n v="19246"/>
    <n v="1"/>
    <s v="Y"/>
    <s v="No"/>
    <n v="20"/>
    <n v="4"/>
    <n v="3"/>
    <n v="80"/>
    <n v="1"/>
    <n v="7"/>
    <n v="5"/>
    <n v="3"/>
    <n v="7"/>
    <n v="7"/>
    <n v="7"/>
    <n v="7"/>
    <s v="5+ yrs"/>
  </r>
  <r>
    <n v="27"/>
    <x v="1"/>
    <s v="Travel_Frequently"/>
    <n v="1297"/>
    <x v="1"/>
    <n v="5"/>
    <n v="2"/>
    <s v="Life Sciences"/>
    <n v="1"/>
    <n v="1850"/>
    <n v="4"/>
    <s v="Female"/>
    <n v="53"/>
    <n v="3"/>
    <n v="1"/>
    <s v="Laboratory Technician"/>
    <x v="0"/>
    <s v="Single"/>
    <x v="1220"/>
    <n v="19826"/>
    <n v="0"/>
    <s v="Y"/>
    <s v="Yes"/>
    <n v="14"/>
    <n v="3"/>
    <n v="3"/>
    <n v="80"/>
    <n v="0"/>
    <n v="6"/>
    <n v="3"/>
    <n v="2"/>
    <n v="5"/>
    <n v="4"/>
    <n v="0"/>
    <n v="2"/>
    <s v="3-5 yrs"/>
  </r>
  <r>
    <n v="29"/>
    <x v="1"/>
    <s v="Travel_Frequently"/>
    <n v="574"/>
    <x v="1"/>
    <n v="20"/>
    <n v="1"/>
    <s v="Medical"/>
    <n v="1"/>
    <n v="1852"/>
    <n v="4"/>
    <s v="Male"/>
    <n v="40"/>
    <n v="3"/>
    <n v="1"/>
    <s v="Laboratory Technician"/>
    <x v="0"/>
    <s v="Married"/>
    <x v="1221"/>
    <n v="7003"/>
    <n v="1"/>
    <s v="Y"/>
    <s v="No"/>
    <n v="13"/>
    <n v="3"/>
    <n v="2"/>
    <n v="80"/>
    <n v="0"/>
    <n v="11"/>
    <n v="3"/>
    <n v="4"/>
    <n v="11"/>
    <n v="8"/>
    <n v="3"/>
    <n v="10"/>
    <s v="5+ yrs"/>
  </r>
  <r>
    <n v="32"/>
    <x v="1"/>
    <s v="Travel_Frequently"/>
    <n v="1318"/>
    <x v="0"/>
    <n v="10"/>
    <n v="4"/>
    <s v="Marketing"/>
    <n v="1"/>
    <n v="1853"/>
    <n v="4"/>
    <s v="Male"/>
    <n v="79"/>
    <n v="3"/>
    <n v="2"/>
    <s v="Sales Executive"/>
    <x v="0"/>
    <s v="Single"/>
    <x v="1222"/>
    <n v="26075"/>
    <n v="8"/>
    <s v="Y"/>
    <s v="No"/>
    <n v="13"/>
    <n v="3"/>
    <n v="3"/>
    <n v="80"/>
    <n v="0"/>
    <n v="4"/>
    <n v="2"/>
    <n v="4"/>
    <n v="0"/>
    <n v="0"/>
    <n v="0"/>
    <n v="0"/>
    <s v="0-2 yrs"/>
  </r>
  <r>
    <n v="42"/>
    <x v="1"/>
    <s v="Non-Travel"/>
    <n v="355"/>
    <x v="1"/>
    <n v="10"/>
    <n v="4"/>
    <s v="Technical Degree"/>
    <n v="1"/>
    <n v="1854"/>
    <n v="3"/>
    <s v="Male"/>
    <n v="38"/>
    <n v="3"/>
    <n v="1"/>
    <s v="Research Scientist"/>
    <x v="2"/>
    <s v="Married"/>
    <x v="808"/>
    <n v="6161"/>
    <n v="3"/>
    <s v="Y"/>
    <s v="No"/>
    <n v="22"/>
    <n v="4"/>
    <n v="2"/>
    <n v="80"/>
    <n v="2"/>
    <n v="10"/>
    <n v="1"/>
    <n v="2"/>
    <n v="6"/>
    <n v="3"/>
    <n v="3"/>
    <n v="3"/>
    <s v="5+ yrs"/>
  </r>
  <r>
    <n v="47"/>
    <x v="1"/>
    <s v="Travel_Rarely"/>
    <n v="207"/>
    <x v="1"/>
    <n v="9"/>
    <n v="4"/>
    <s v="Life Sciences"/>
    <n v="1"/>
    <n v="1856"/>
    <n v="2"/>
    <s v="Female"/>
    <n v="64"/>
    <n v="3"/>
    <n v="1"/>
    <s v="Laboratory Technician"/>
    <x v="2"/>
    <s v="Single"/>
    <x v="1223"/>
    <n v="5411"/>
    <n v="4"/>
    <s v="Y"/>
    <s v="No"/>
    <n v="12"/>
    <n v="3"/>
    <n v="3"/>
    <n v="80"/>
    <n v="0"/>
    <n v="7"/>
    <n v="2"/>
    <n v="3"/>
    <n v="2"/>
    <n v="2"/>
    <n v="2"/>
    <n v="0"/>
    <s v="0-2 yrs"/>
  </r>
  <r>
    <n v="46"/>
    <x v="1"/>
    <s v="Travel_Rarely"/>
    <n v="706"/>
    <x v="1"/>
    <n v="2"/>
    <n v="2"/>
    <s v="Life Sciences"/>
    <n v="1"/>
    <n v="1857"/>
    <n v="4"/>
    <s v="Male"/>
    <n v="82"/>
    <n v="3"/>
    <n v="3"/>
    <s v="Manufacturing Director"/>
    <x v="0"/>
    <s v="Divorced"/>
    <x v="1224"/>
    <n v="19989"/>
    <n v="3"/>
    <s v="Y"/>
    <s v="No"/>
    <n v="14"/>
    <n v="3"/>
    <n v="3"/>
    <n v="80"/>
    <n v="1"/>
    <n v="12"/>
    <n v="4"/>
    <n v="2"/>
    <n v="9"/>
    <n v="8"/>
    <n v="4"/>
    <n v="7"/>
    <s v="5+ yrs"/>
  </r>
  <r>
    <n v="28"/>
    <x v="1"/>
    <s v="Non-Travel"/>
    <n v="280"/>
    <x v="2"/>
    <n v="1"/>
    <n v="2"/>
    <s v="Life Sciences"/>
    <n v="1"/>
    <n v="1858"/>
    <n v="3"/>
    <s v="Male"/>
    <n v="43"/>
    <n v="3"/>
    <n v="1"/>
    <s v="Human Resources"/>
    <x v="0"/>
    <s v="Divorced"/>
    <x v="1225"/>
    <n v="10494"/>
    <n v="1"/>
    <s v="Y"/>
    <s v="No"/>
    <n v="15"/>
    <n v="3"/>
    <n v="2"/>
    <n v="80"/>
    <n v="1"/>
    <n v="3"/>
    <n v="2"/>
    <n v="3"/>
    <n v="3"/>
    <n v="2"/>
    <n v="2"/>
    <n v="2"/>
    <s v="3-5 yrs"/>
  </r>
  <r>
    <n v="29"/>
    <x v="1"/>
    <s v="Travel_Rarely"/>
    <n v="726"/>
    <x v="1"/>
    <n v="29"/>
    <n v="1"/>
    <s v="Life Sciences"/>
    <n v="1"/>
    <n v="1859"/>
    <n v="4"/>
    <s v="Male"/>
    <n v="93"/>
    <n v="1"/>
    <n v="2"/>
    <s v="Healthcare Representative"/>
    <x v="2"/>
    <s v="Divorced"/>
    <x v="1226"/>
    <n v="21143"/>
    <n v="8"/>
    <s v="Y"/>
    <s v="No"/>
    <n v="17"/>
    <n v="3"/>
    <n v="4"/>
    <n v="80"/>
    <n v="2"/>
    <n v="11"/>
    <n v="3"/>
    <n v="3"/>
    <n v="7"/>
    <n v="0"/>
    <n v="1"/>
    <n v="6"/>
    <s v="5+ yrs"/>
  </r>
  <r>
    <n v="42"/>
    <x v="1"/>
    <s v="Travel_Rarely"/>
    <n v="1142"/>
    <x v="1"/>
    <n v="8"/>
    <n v="3"/>
    <s v="Life Sciences"/>
    <n v="1"/>
    <n v="1860"/>
    <n v="4"/>
    <s v="Male"/>
    <n v="81"/>
    <n v="3"/>
    <n v="1"/>
    <s v="Laboratory Technician"/>
    <x v="2"/>
    <s v="Single"/>
    <x v="1227"/>
    <n v="13624"/>
    <n v="4"/>
    <s v="Y"/>
    <s v="No"/>
    <n v="13"/>
    <n v="3"/>
    <n v="4"/>
    <n v="80"/>
    <n v="0"/>
    <n v="8"/>
    <n v="3"/>
    <n v="3"/>
    <n v="0"/>
    <n v="0"/>
    <n v="0"/>
    <n v="0"/>
    <s v="0-2 yrs"/>
  </r>
  <r>
    <n v="32"/>
    <x v="0"/>
    <s v="Travel_Rarely"/>
    <n v="414"/>
    <x v="0"/>
    <n v="2"/>
    <n v="4"/>
    <s v="Marketing"/>
    <n v="1"/>
    <n v="1862"/>
    <n v="3"/>
    <s v="Male"/>
    <n v="82"/>
    <n v="2"/>
    <n v="2"/>
    <s v="Sales Executive"/>
    <x v="1"/>
    <s v="Single"/>
    <x v="1228"/>
    <n v="26186"/>
    <n v="7"/>
    <s v="Y"/>
    <s v="Yes"/>
    <n v="12"/>
    <n v="3"/>
    <n v="3"/>
    <n v="80"/>
    <n v="0"/>
    <n v="7"/>
    <n v="3"/>
    <n v="2"/>
    <n v="2"/>
    <n v="2"/>
    <n v="2"/>
    <n v="2"/>
    <s v="0-2 yrs"/>
  </r>
  <r>
    <n v="46"/>
    <x v="1"/>
    <s v="Travel_Rarely"/>
    <n v="1319"/>
    <x v="0"/>
    <n v="3"/>
    <n v="3"/>
    <s v="Technical Degree"/>
    <n v="1"/>
    <n v="1863"/>
    <n v="1"/>
    <s v="Female"/>
    <n v="45"/>
    <n v="4"/>
    <n v="4"/>
    <s v="Sales Executive"/>
    <x v="3"/>
    <s v="Divorced"/>
    <x v="1229"/>
    <n v="7739"/>
    <n v="2"/>
    <s v="Y"/>
    <s v="No"/>
    <n v="12"/>
    <n v="3"/>
    <n v="4"/>
    <n v="80"/>
    <n v="1"/>
    <n v="25"/>
    <n v="5"/>
    <n v="3"/>
    <n v="19"/>
    <n v="17"/>
    <n v="2"/>
    <n v="8"/>
    <s v="5+ yrs"/>
  </r>
  <r>
    <n v="27"/>
    <x v="1"/>
    <s v="Travel_Rarely"/>
    <n v="728"/>
    <x v="0"/>
    <n v="23"/>
    <n v="1"/>
    <s v="Medical"/>
    <n v="1"/>
    <n v="1864"/>
    <n v="2"/>
    <s v="Female"/>
    <n v="36"/>
    <n v="2"/>
    <n v="2"/>
    <s v="Sales Representative"/>
    <x v="2"/>
    <s v="Married"/>
    <x v="1230"/>
    <n v="7018"/>
    <n v="1"/>
    <s v="Y"/>
    <s v="No"/>
    <n v="21"/>
    <n v="4"/>
    <n v="4"/>
    <n v="80"/>
    <n v="1"/>
    <n v="9"/>
    <n v="5"/>
    <n v="3"/>
    <n v="9"/>
    <n v="8"/>
    <n v="5"/>
    <n v="8"/>
    <s v="5+ yrs"/>
  </r>
  <r>
    <n v="29"/>
    <x v="1"/>
    <s v="Travel_Rarely"/>
    <n v="352"/>
    <x v="2"/>
    <n v="6"/>
    <n v="1"/>
    <s v="Medical"/>
    <n v="1"/>
    <n v="1865"/>
    <n v="4"/>
    <s v="Male"/>
    <n v="87"/>
    <n v="2"/>
    <n v="1"/>
    <s v="Human Resources"/>
    <x v="1"/>
    <s v="Married"/>
    <x v="1231"/>
    <n v="15434"/>
    <n v="1"/>
    <s v="Y"/>
    <s v="No"/>
    <n v="11"/>
    <n v="3"/>
    <n v="4"/>
    <n v="80"/>
    <n v="0"/>
    <n v="1"/>
    <n v="3"/>
    <n v="3"/>
    <n v="1"/>
    <n v="0"/>
    <n v="0"/>
    <n v="0"/>
    <s v="0-2 yrs"/>
  </r>
  <r>
    <n v="43"/>
    <x v="1"/>
    <s v="Travel_Rarely"/>
    <n v="823"/>
    <x v="1"/>
    <n v="6"/>
    <n v="3"/>
    <s v="Medical"/>
    <n v="1"/>
    <n v="1866"/>
    <n v="1"/>
    <s v="Female"/>
    <n v="81"/>
    <n v="2"/>
    <n v="5"/>
    <s v="Manager"/>
    <x v="2"/>
    <s v="Married"/>
    <x v="1232"/>
    <n v="22539"/>
    <n v="7"/>
    <s v="Y"/>
    <s v="No"/>
    <n v="13"/>
    <n v="3"/>
    <n v="4"/>
    <n v="80"/>
    <n v="0"/>
    <n v="21"/>
    <n v="2"/>
    <n v="3"/>
    <n v="16"/>
    <n v="12"/>
    <n v="6"/>
    <n v="14"/>
    <s v="5+ yrs"/>
  </r>
  <r>
    <n v="48"/>
    <x v="1"/>
    <s v="Travel_Rarely"/>
    <n v="1224"/>
    <x v="1"/>
    <n v="10"/>
    <n v="3"/>
    <s v="Life Sciences"/>
    <n v="1"/>
    <n v="1867"/>
    <n v="4"/>
    <s v="Male"/>
    <n v="91"/>
    <n v="2"/>
    <n v="5"/>
    <s v="Research Director"/>
    <x v="1"/>
    <s v="Married"/>
    <x v="1233"/>
    <n v="13583"/>
    <n v="4"/>
    <s v="Y"/>
    <s v="No"/>
    <n v="12"/>
    <n v="3"/>
    <n v="4"/>
    <n v="80"/>
    <n v="0"/>
    <n v="29"/>
    <n v="3"/>
    <n v="3"/>
    <n v="22"/>
    <n v="10"/>
    <n v="12"/>
    <n v="9"/>
    <s v="5+ yrs"/>
  </r>
  <r>
    <n v="29"/>
    <x v="0"/>
    <s v="Travel_Frequently"/>
    <n v="459"/>
    <x v="1"/>
    <n v="24"/>
    <n v="2"/>
    <s v="Life Sciences"/>
    <n v="1"/>
    <n v="1868"/>
    <n v="4"/>
    <s v="Male"/>
    <n v="73"/>
    <n v="2"/>
    <n v="1"/>
    <s v="Research Scientist"/>
    <x v="0"/>
    <s v="Single"/>
    <x v="1234"/>
    <n v="14753"/>
    <n v="1"/>
    <s v="Y"/>
    <s v="Yes"/>
    <n v="24"/>
    <n v="4"/>
    <n v="2"/>
    <n v="80"/>
    <n v="0"/>
    <n v="1"/>
    <n v="3"/>
    <n v="2"/>
    <n v="1"/>
    <n v="0"/>
    <n v="1"/>
    <n v="0"/>
    <s v="0-2 yrs"/>
  </r>
  <r>
    <n v="46"/>
    <x v="0"/>
    <s v="Travel_Rarely"/>
    <n v="1254"/>
    <x v="0"/>
    <n v="10"/>
    <n v="3"/>
    <s v="Life Sciences"/>
    <n v="1"/>
    <n v="1869"/>
    <n v="3"/>
    <s v="Female"/>
    <n v="64"/>
    <n v="3"/>
    <n v="3"/>
    <s v="Sales Executive"/>
    <x v="1"/>
    <s v="Married"/>
    <x v="1235"/>
    <n v="14011"/>
    <n v="5"/>
    <s v="Y"/>
    <s v="No"/>
    <n v="21"/>
    <n v="4"/>
    <n v="3"/>
    <n v="80"/>
    <n v="3"/>
    <n v="14"/>
    <n v="2"/>
    <n v="3"/>
    <n v="8"/>
    <n v="7"/>
    <n v="0"/>
    <n v="7"/>
    <s v="5+ yrs"/>
  </r>
  <r>
    <n v="27"/>
    <x v="1"/>
    <s v="Travel_Frequently"/>
    <n v="1131"/>
    <x v="1"/>
    <n v="15"/>
    <n v="3"/>
    <s v="Life Sciences"/>
    <n v="1"/>
    <n v="1870"/>
    <n v="4"/>
    <s v="Female"/>
    <n v="77"/>
    <n v="2"/>
    <n v="1"/>
    <s v="Research Scientist"/>
    <x v="3"/>
    <s v="Married"/>
    <x v="1236"/>
    <n v="23844"/>
    <n v="0"/>
    <s v="Y"/>
    <s v="No"/>
    <n v="19"/>
    <n v="3"/>
    <n v="4"/>
    <n v="80"/>
    <n v="1"/>
    <n v="8"/>
    <n v="2"/>
    <n v="2"/>
    <n v="7"/>
    <n v="6"/>
    <n v="7"/>
    <n v="3"/>
    <s v="5+ yrs"/>
  </r>
  <r>
    <n v="39"/>
    <x v="1"/>
    <s v="Travel_Rarely"/>
    <n v="835"/>
    <x v="1"/>
    <n v="19"/>
    <n v="4"/>
    <s v="Other"/>
    <n v="1"/>
    <n v="1871"/>
    <n v="4"/>
    <s v="Male"/>
    <n v="41"/>
    <n v="3"/>
    <n v="2"/>
    <s v="Research Scientist"/>
    <x v="0"/>
    <s v="Divorced"/>
    <x v="1237"/>
    <n v="5141"/>
    <n v="8"/>
    <s v="Y"/>
    <s v="No"/>
    <n v="14"/>
    <n v="3"/>
    <n v="2"/>
    <n v="80"/>
    <n v="3"/>
    <n v="7"/>
    <n v="2"/>
    <n v="3"/>
    <n v="2"/>
    <n v="2"/>
    <n v="2"/>
    <n v="2"/>
    <s v="0-2 yrs"/>
  </r>
  <r>
    <n v="55"/>
    <x v="1"/>
    <s v="Travel_Rarely"/>
    <n v="836"/>
    <x v="1"/>
    <n v="2"/>
    <n v="4"/>
    <s v="Technical Degree"/>
    <n v="1"/>
    <n v="1873"/>
    <n v="2"/>
    <s v="Male"/>
    <n v="98"/>
    <n v="2"/>
    <n v="1"/>
    <s v="Research Scientist"/>
    <x v="0"/>
    <s v="Married"/>
    <x v="1238"/>
    <n v="7975"/>
    <n v="8"/>
    <s v="Y"/>
    <s v="No"/>
    <n v="20"/>
    <n v="4"/>
    <n v="2"/>
    <n v="80"/>
    <n v="1"/>
    <n v="19"/>
    <n v="2"/>
    <n v="4"/>
    <n v="5"/>
    <n v="2"/>
    <n v="0"/>
    <n v="4"/>
    <s v="3-5 yrs"/>
  </r>
  <r>
    <n v="28"/>
    <x v="1"/>
    <s v="Travel_Rarely"/>
    <n v="1172"/>
    <x v="0"/>
    <n v="3"/>
    <n v="3"/>
    <s v="Medical"/>
    <n v="1"/>
    <n v="1875"/>
    <n v="2"/>
    <s v="Female"/>
    <n v="78"/>
    <n v="3"/>
    <n v="1"/>
    <s v="Sales Representative"/>
    <x v="1"/>
    <s v="Married"/>
    <x v="1239"/>
    <n v="3692"/>
    <n v="1"/>
    <s v="Y"/>
    <s v="No"/>
    <n v="19"/>
    <n v="3"/>
    <n v="4"/>
    <n v="80"/>
    <n v="1"/>
    <n v="1"/>
    <n v="3"/>
    <n v="3"/>
    <n v="1"/>
    <n v="0"/>
    <n v="0"/>
    <n v="0"/>
    <s v="0-2 yrs"/>
  </r>
  <r>
    <n v="30"/>
    <x v="0"/>
    <s v="Travel_Rarely"/>
    <n v="945"/>
    <x v="0"/>
    <n v="9"/>
    <n v="3"/>
    <s v="Medical"/>
    <n v="1"/>
    <n v="1876"/>
    <n v="2"/>
    <s v="Male"/>
    <n v="89"/>
    <n v="3"/>
    <n v="1"/>
    <s v="Sales Representative"/>
    <x v="0"/>
    <s v="Single"/>
    <x v="1240"/>
    <n v="16019"/>
    <n v="1"/>
    <s v="Y"/>
    <s v="No"/>
    <n v="13"/>
    <n v="3"/>
    <n v="3"/>
    <n v="80"/>
    <n v="0"/>
    <n v="1"/>
    <n v="3"/>
    <n v="2"/>
    <n v="1"/>
    <n v="0"/>
    <n v="0"/>
    <n v="0"/>
    <s v="0-2 yrs"/>
  </r>
  <r>
    <n v="22"/>
    <x v="0"/>
    <s v="Travel_Rarely"/>
    <n v="391"/>
    <x v="1"/>
    <n v="7"/>
    <n v="1"/>
    <s v="Life Sciences"/>
    <n v="1"/>
    <n v="1878"/>
    <n v="4"/>
    <s v="Male"/>
    <n v="75"/>
    <n v="3"/>
    <n v="1"/>
    <s v="Research Scientist"/>
    <x v="1"/>
    <s v="Single"/>
    <x v="1241"/>
    <n v="26092"/>
    <n v="1"/>
    <s v="Y"/>
    <s v="Yes"/>
    <n v="23"/>
    <n v="4"/>
    <n v="1"/>
    <n v="80"/>
    <n v="0"/>
    <n v="1"/>
    <n v="2"/>
    <n v="3"/>
    <n v="1"/>
    <n v="0"/>
    <n v="0"/>
    <n v="0"/>
    <s v="0-2 yrs"/>
  </r>
  <r>
    <n v="36"/>
    <x v="1"/>
    <s v="Travel_Rarely"/>
    <n v="1266"/>
    <x v="0"/>
    <n v="10"/>
    <n v="4"/>
    <s v="Technical Degree"/>
    <n v="1"/>
    <n v="1880"/>
    <n v="2"/>
    <s v="Female"/>
    <n v="63"/>
    <n v="2"/>
    <n v="2"/>
    <s v="Sales Executive"/>
    <x v="2"/>
    <s v="Married"/>
    <x v="1242"/>
    <n v="6060"/>
    <n v="1"/>
    <s v="Y"/>
    <s v="Yes"/>
    <n v="13"/>
    <n v="3"/>
    <n v="1"/>
    <n v="80"/>
    <n v="1"/>
    <n v="10"/>
    <n v="4"/>
    <n v="3"/>
    <n v="10"/>
    <n v="9"/>
    <n v="1"/>
    <n v="7"/>
    <s v="5+ yrs"/>
  </r>
  <r>
    <n v="31"/>
    <x v="1"/>
    <s v="Travel_Rarely"/>
    <n v="311"/>
    <x v="1"/>
    <n v="20"/>
    <n v="3"/>
    <s v="Life Sciences"/>
    <n v="1"/>
    <n v="1881"/>
    <n v="2"/>
    <s v="Male"/>
    <n v="89"/>
    <n v="3"/>
    <n v="2"/>
    <s v="Laboratory Technician"/>
    <x v="2"/>
    <s v="Divorced"/>
    <x v="378"/>
    <n v="18624"/>
    <n v="1"/>
    <s v="Y"/>
    <s v="No"/>
    <n v="11"/>
    <n v="3"/>
    <n v="1"/>
    <n v="80"/>
    <n v="1"/>
    <n v="10"/>
    <n v="2"/>
    <n v="3"/>
    <n v="10"/>
    <n v="8"/>
    <n v="0"/>
    <n v="2"/>
    <s v="5+ yrs"/>
  </r>
  <r>
    <n v="34"/>
    <x v="1"/>
    <s v="Travel_Rarely"/>
    <n v="1480"/>
    <x v="0"/>
    <n v="4"/>
    <n v="3"/>
    <s v="Life Sciences"/>
    <n v="1"/>
    <n v="1882"/>
    <n v="3"/>
    <s v="Male"/>
    <n v="64"/>
    <n v="3"/>
    <n v="3"/>
    <s v="Sales Executive"/>
    <x v="0"/>
    <s v="Married"/>
    <x v="1243"/>
    <n v="24444"/>
    <n v="2"/>
    <s v="Y"/>
    <s v="Yes"/>
    <n v="13"/>
    <n v="3"/>
    <n v="4"/>
    <n v="80"/>
    <n v="3"/>
    <n v="9"/>
    <n v="3"/>
    <n v="3"/>
    <n v="5"/>
    <n v="3"/>
    <n v="1"/>
    <n v="0"/>
    <s v="3-5 yrs"/>
  </r>
  <r>
    <n v="29"/>
    <x v="1"/>
    <s v="Travel_Rarely"/>
    <n v="592"/>
    <x v="1"/>
    <n v="7"/>
    <n v="3"/>
    <s v="Life Sciences"/>
    <n v="1"/>
    <n v="1883"/>
    <n v="4"/>
    <s v="Male"/>
    <n v="59"/>
    <n v="3"/>
    <n v="1"/>
    <s v="Laboratory Technician"/>
    <x v="3"/>
    <s v="Single"/>
    <x v="1244"/>
    <n v="19384"/>
    <n v="3"/>
    <s v="Y"/>
    <s v="No"/>
    <n v="14"/>
    <n v="3"/>
    <n v="2"/>
    <n v="80"/>
    <n v="0"/>
    <n v="11"/>
    <n v="2"/>
    <n v="3"/>
    <n v="3"/>
    <n v="2"/>
    <n v="1"/>
    <n v="2"/>
    <s v="3-5 yrs"/>
  </r>
  <r>
    <n v="37"/>
    <x v="1"/>
    <s v="Travel_Rarely"/>
    <n v="783"/>
    <x v="1"/>
    <n v="7"/>
    <n v="4"/>
    <s v="Medical"/>
    <n v="1"/>
    <n v="1885"/>
    <n v="4"/>
    <s v="Male"/>
    <n v="78"/>
    <n v="3"/>
    <n v="2"/>
    <s v="Research Scientist"/>
    <x v="3"/>
    <s v="Married"/>
    <x v="948"/>
    <n v="13588"/>
    <n v="5"/>
    <s v="Y"/>
    <s v="Yes"/>
    <n v="22"/>
    <n v="4"/>
    <n v="3"/>
    <n v="80"/>
    <n v="1"/>
    <n v="16"/>
    <n v="2"/>
    <n v="3"/>
    <n v="5"/>
    <n v="3"/>
    <n v="0"/>
    <n v="4"/>
    <s v="3-5 yrs"/>
  </r>
  <r>
    <n v="35"/>
    <x v="1"/>
    <s v="Travel_Rarely"/>
    <n v="219"/>
    <x v="1"/>
    <n v="16"/>
    <n v="2"/>
    <s v="Other"/>
    <n v="1"/>
    <n v="1886"/>
    <n v="4"/>
    <s v="Female"/>
    <n v="44"/>
    <n v="2"/>
    <n v="2"/>
    <s v="Manufacturing Director"/>
    <x v="1"/>
    <s v="Married"/>
    <x v="1245"/>
    <n v="25388"/>
    <n v="0"/>
    <s v="Y"/>
    <s v="Yes"/>
    <n v="11"/>
    <n v="3"/>
    <n v="4"/>
    <n v="80"/>
    <n v="0"/>
    <n v="4"/>
    <n v="2"/>
    <n v="3"/>
    <n v="3"/>
    <n v="2"/>
    <n v="0"/>
    <n v="2"/>
    <s v="3-5 yrs"/>
  </r>
  <r>
    <n v="45"/>
    <x v="1"/>
    <s v="Travel_Rarely"/>
    <n v="556"/>
    <x v="1"/>
    <n v="25"/>
    <n v="2"/>
    <s v="Life Sciences"/>
    <n v="1"/>
    <n v="1888"/>
    <n v="2"/>
    <s v="Female"/>
    <n v="93"/>
    <n v="2"/>
    <n v="2"/>
    <s v="Manufacturing Director"/>
    <x v="0"/>
    <s v="Married"/>
    <x v="1246"/>
    <n v="23888"/>
    <n v="0"/>
    <s v="Y"/>
    <s v="No"/>
    <n v="13"/>
    <n v="3"/>
    <n v="4"/>
    <n v="80"/>
    <n v="2"/>
    <n v="10"/>
    <n v="2"/>
    <n v="2"/>
    <n v="9"/>
    <n v="8"/>
    <n v="3"/>
    <n v="8"/>
    <s v="5+ yrs"/>
  </r>
  <r>
    <n v="36"/>
    <x v="1"/>
    <s v="Travel_Frequently"/>
    <n v="1213"/>
    <x v="2"/>
    <n v="2"/>
    <n v="1"/>
    <s v="Human Resources"/>
    <n v="1"/>
    <n v="1890"/>
    <n v="2"/>
    <s v="Male"/>
    <n v="94"/>
    <n v="2"/>
    <n v="2"/>
    <s v="Human Resources"/>
    <x v="0"/>
    <s v="Single"/>
    <x v="1247"/>
    <n v="4223"/>
    <n v="1"/>
    <s v="Y"/>
    <s v="No"/>
    <n v="21"/>
    <n v="4"/>
    <n v="4"/>
    <n v="80"/>
    <n v="0"/>
    <n v="10"/>
    <n v="2"/>
    <n v="2"/>
    <n v="10"/>
    <n v="1"/>
    <n v="0"/>
    <n v="8"/>
    <s v="5+ yrs"/>
  </r>
  <r>
    <n v="40"/>
    <x v="1"/>
    <s v="Travel_Rarely"/>
    <n v="1137"/>
    <x v="1"/>
    <n v="1"/>
    <n v="4"/>
    <s v="Life Sciences"/>
    <n v="1"/>
    <n v="1892"/>
    <n v="1"/>
    <s v="Male"/>
    <n v="98"/>
    <n v="3"/>
    <n v="4"/>
    <s v="Manager"/>
    <x v="3"/>
    <s v="Divorced"/>
    <x v="1248"/>
    <n v="18991"/>
    <n v="2"/>
    <s v="Y"/>
    <s v="No"/>
    <n v="11"/>
    <n v="3"/>
    <n v="1"/>
    <n v="80"/>
    <n v="1"/>
    <n v="22"/>
    <n v="3"/>
    <n v="3"/>
    <n v="19"/>
    <n v="7"/>
    <n v="11"/>
    <n v="16"/>
    <s v="5+ yrs"/>
  </r>
  <r>
    <n v="26"/>
    <x v="1"/>
    <s v="Travel_Rarely"/>
    <n v="482"/>
    <x v="1"/>
    <n v="1"/>
    <n v="2"/>
    <s v="Life Sciences"/>
    <n v="1"/>
    <n v="1893"/>
    <n v="2"/>
    <s v="Female"/>
    <n v="90"/>
    <n v="2"/>
    <n v="1"/>
    <s v="Research Scientist"/>
    <x v="2"/>
    <s v="Married"/>
    <x v="1249"/>
    <n v="14908"/>
    <n v="1"/>
    <s v="Y"/>
    <s v="Yes"/>
    <n v="13"/>
    <n v="3"/>
    <n v="3"/>
    <n v="80"/>
    <n v="1"/>
    <n v="1"/>
    <n v="3"/>
    <n v="2"/>
    <n v="1"/>
    <n v="0"/>
    <n v="1"/>
    <n v="0"/>
    <s v="0-2 yrs"/>
  </r>
  <r>
    <n v="27"/>
    <x v="1"/>
    <s v="Travel_Rarely"/>
    <n v="511"/>
    <x v="0"/>
    <n v="2"/>
    <n v="2"/>
    <s v="Medical"/>
    <n v="1"/>
    <n v="1898"/>
    <n v="1"/>
    <s v="Female"/>
    <n v="89"/>
    <n v="4"/>
    <n v="2"/>
    <s v="Sales Executive"/>
    <x v="2"/>
    <s v="Single"/>
    <x v="559"/>
    <n v="26997"/>
    <n v="0"/>
    <s v="Y"/>
    <s v="No"/>
    <n v="14"/>
    <n v="3"/>
    <n v="2"/>
    <n v="80"/>
    <n v="0"/>
    <n v="9"/>
    <n v="5"/>
    <n v="2"/>
    <n v="8"/>
    <n v="7"/>
    <n v="0"/>
    <n v="7"/>
    <s v="5+ yrs"/>
  </r>
  <r>
    <n v="48"/>
    <x v="1"/>
    <s v="Travel_Frequently"/>
    <n v="117"/>
    <x v="1"/>
    <n v="22"/>
    <n v="3"/>
    <s v="Medical"/>
    <n v="1"/>
    <n v="1900"/>
    <n v="4"/>
    <s v="Female"/>
    <n v="58"/>
    <n v="3"/>
    <n v="4"/>
    <s v="Manager"/>
    <x v="0"/>
    <s v="Divorced"/>
    <x v="1250"/>
    <n v="2437"/>
    <n v="3"/>
    <s v="Y"/>
    <s v="No"/>
    <n v="11"/>
    <n v="3"/>
    <n v="2"/>
    <n v="80"/>
    <n v="1"/>
    <n v="24"/>
    <n v="3"/>
    <n v="3"/>
    <n v="22"/>
    <n v="17"/>
    <n v="4"/>
    <n v="7"/>
    <s v="5+ yrs"/>
  </r>
  <r>
    <n v="44"/>
    <x v="1"/>
    <s v="Travel_Rarely"/>
    <n v="170"/>
    <x v="1"/>
    <n v="1"/>
    <n v="4"/>
    <s v="Life Sciences"/>
    <n v="1"/>
    <n v="1903"/>
    <n v="2"/>
    <s v="Male"/>
    <n v="78"/>
    <n v="4"/>
    <n v="2"/>
    <s v="Healthcare Representative"/>
    <x v="3"/>
    <s v="Married"/>
    <x v="1251"/>
    <n v="9364"/>
    <n v="2"/>
    <s v="Y"/>
    <s v="No"/>
    <n v="15"/>
    <n v="3"/>
    <n v="4"/>
    <n v="80"/>
    <n v="1"/>
    <n v="10"/>
    <n v="5"/>
    <n v="3"/>
    <n v="2"/>
    <n v="0"/>
    <n v="2"/>
    <n v="2"/>
    <s v="0-2 yrs"/>
  </r>
  <r>
    <n v="34"/>
    <x v="0"/>
    <s v="Non-Travel"/>
    <n v="967"/>
    <x v="1"/>
    <n v="16"/>
    <n v="4"/>
    <s v="Technical Degree"/>
    <n v="1"/>
    <n v="1905"/>
    <n v="4"/>
    <s v="Male"/>
    <n v="85"/>
    <n v="1"/>
    <n v="1"/>
    <s v="Research Scientist"/>
    <x v="3"/>
    <s v="Married"/>
    <x v="1252"/>
    <n v="14460"/>
    <n v="1"/>
    <s v="Y"/>
    <s v="Yes"/>
    <n v="23"/>
    <n v="4"/>
    <n v="2"/>
    <n v="80"/>
    <n v="1"/>
    <n v="5"/>
    <n v="2"/>
    <n v="3"/>
    <n v="5"/>
    <n v="2"/>
    <n v="3"/>
    <n v="0"/>
    <s v="3-5 yrs"/>
  </r>
  <r>
    <n v="56"/>
    <x v="0"/>
    <s v="Travel_Rarely"/>
    <n v="1162"/>
    <x v="1"/>
    <n v="24"/>
    <n v="2"/>
    <s v="Life Sciences"/>
    <n v="1"/>
    <n v="1907"/>
    <n v="1"/>
    <s v="Male"/>
    <n v="97"/>
    <n v="3"/>
    <n v="1"/>
    <s v="Laboratory Technician"/>
    <x v="0"/>
    <s v="Single"/>
    <x v="1105"/>
    <n v="10261"/>
    <n v="1"/>
    <s v="Y"/>
    <s v="No"/>
    <n v="16"/>
    <n v="3"/>
    <n v="4"/>
    <n v="80"/>
    <n v="0"/>
    <n v="5"/>
    <n v="3"/>
    <n v="3"/>
    <n v="4"/>
    <n v="2"/>
    <n v="1"/>
    <n v="0"/>
    <s v="3-5 yrs"/>
  </r>
  <r>
    <n v="36"/>
    <x v="1"/>
    <s v="Travel_Rarely"/>
    <n v="335"/>
    <x v="0"/>
    <n v="17"/>
    <n v="2"/>
    <s v="Marketing"/>
    <n v="1"/>
    <n v="1908"/>
    <n v="3"/>
    <s v="Male"/>
    <n v="33"/>
    <n v="2"/>
    <n v="2"/>
    <s v="Sales Executive"/>
    <x v="1"/>
    <s v="Married"/>
    <x v="1253"/>
    <n v="16822"/>
    <n v="2"/>
    <s v="Y"/>
    <s v="No"/>
    <n v="16"/>
    <n v="3"/>
    <n v="3"/>
    <n v="80"/>
    <n v="2"/>
    <n v="12"/>
    <n v="1"/>
    <n v="1"/>
    <n v="4"/>
    <n v="2"/>
    <n v="1"/>
    <n v="3"/>
    <s v="3-5 yrs"/>
  </r>
  <r>
    <n v="41"/>
    <x v="1"/>
    <s v="Travel_Rarely"/>
    <n v="337"/>
    <x v="0"/>
    <n v="8"/>
    <n v="3"/>
    <s v="Marketing"/>
    <n v="1"/>
    <n v="1909"/>
    <n v="3"/>
    <s v="Female"/>
    <n v="54"/>
    <n v="3"/>
    <n v="2"/>
    <s v="Sales Executive"/>
    <x v="1"/>
    <s v="Married"/>
    <x v="1254"/>
    <n v="26841"/>
    <n v="5"/>
    <s v="Y"/>
    <s v="No"/>
    <n v="21"/>
    <n v="4"/>
    <n v="3"/>
    <n v="80"/>
    <n v="1"/>
    <n v="14"/>
    <n v="3"/>
    <n v="3"/>
    <n v="5"/>
    <n v="4"/>
    <n v="1"/>
    <n v="4"/>
    <s v="3-5 yrs"/>
  </r>
  <r>
    <n v="42"/>
    <x v="1"/>
    <s v="Travel_Rarely"/>
    <n v="1396"/>
    <x v="1"/>
    <n v="6"/>
    <n v="3"/>
    <s v="Medical"/>
    <n v="1"/>
    <n v="1911"/>
    <n v="3"/>
    <s v="Male"/>
    <n v="83"/>
    <n v="3"/>
    <n v="3"/>
    <s v="Research Director"/>
    <x v="3"/>
    <s v="Married"/>
    <x v="1255"/>
    <n v="14842"/>
    <n v="9"/>
    <s v="Y"/>
    <s v="No"/>
    <n v="13"/>
    <n v="3"/>
    <n v="2"/>
    <n v="80"/>
    <n v="1"/>
    <n v="18"/>
    <n v="3"/>
    <n v="4"/>
    <n v="13"/>
    <n v="7"/>
    <n v="5"/>
    <n v="7"/>
    <s v="5+ yrs"/>
  </r>
  <r>
    <n v="31"/>
    <x v="1"/>
    <s v="Travel_Rarely"/>
    <n v="1079"/>
    <x v="0"/>
    <n v="10"/>
    <n v="2"/>
    <s v="Medical"/>
    <n v="1"/>
    <n v="1912"/>
    <n v="3"/>
    <s v="Female"/>
    <n v="86"/>
    <n v="3"/>
    <n v="2"/>
    <s v="Sales Executive"/>
    <x v="0"/>
    <s v="Divorced"/>
    <x v="1256"/>
    <n v="20115"/>
    <n v="2"/>
    <s v="Y"/>
    <s v="Yes"/>
    <n v="11"/>
    <n v="3"/>
    <n v="4"/>
    <n v="80"/>
    <n v="1"/>
    <n v="8"/>
    <n v="2"/>
    <n v="3"/>
    <n v="5"/>
    <n v="2"/>
    <n v="1"/>
    <n v="4"/>
    <s v="3-5 yrs"/>
  </r>
  <r>
    <n v="34"/>
    <x v="1"/>
    <s v="Travel_Rarely"/>
    <n v="735"/>
    <x v="0"/>
    <n v="3"/>
    <n v="1"/>
    <s v="Medical"/>
    <n v="1"/>
    <n v="1915"/>
    <n v="4"/>
    <s v="Female"/>
    <n v="75"/>
    <n v="2"/>
    <n v="2"/>
    <s v="Sales Executive"/>
    <x v="0"/>
    <s v="Married"/>
    <x v="1257"/>
    <n v="16495"/>
    <n v="3"/>
    <s v="Y"/>
    <s v="Yes"/>
    <n v="12"/>
    <n v="3"/>
    <n v="3"/>
    <n v="80"/>
    <n v="0"/>
    <n v="9"/>
    <n v="3"/>
    <n v="2"/>
    <n v="4"/>
    <n v="2"/>
    <n v="0"/>
    <n v="1"/>
    <s v="3-5 yrs"/>
  </r>
  <r>
    <n v="31"/>
    <x v="1"/>
    <s v="Travel_Rarely"/>
    <n v="471"/>
    <x v="1"/>
    <n v="4"/>
    <n v="3"/>
    <s v="Medical"/>
    <n v="1"/>
    <n v="1916"/>
    <n v="1"/>
    <s v="Female"/>
    <n v="62"/>
    <n v="4"/>
    <n v="1"/>
    <s v="Laboratory Technician"/>
    <x v="2"/>
    <s v="Divorced"/>
    <x v="1258"/>
    <n v="16031"/>
    <n v="8"/>
    <s v="Y"/>
    <s v="No"/>
    <n v="12"/>
    <n v="3"/>
    <n v="2"/>
    <n v="80"/>
    <n v="1"/>
    <n v="4"/>
    <n v="0"/>
    <n v="2"/>
    <n v="2"/>
    <n v="2"/>
    <n v="2"/>
    <n v="2"/>
    <s v="0-2 yrs"/>
  </r>
  <r>
    <n v="26"/>
    <x v="1"/>
    <s v="Travel_Frequently"/>
    <n v="1096"/>
    <x v="1"/>
    <n v="6"/>
    <n v="3"/>
    <s v="Other"/>
    <n v="1"/>
    <n v="1918"/>
    <n v="3"/>
    <s v="Male"/>
    <n v="61"/>
    <n v="4"/>
    <n v="1"/>
    <s v="Laboratory Technician"/>
    <x v="0"/>
    <s v="Married"/>
    <x v="1259"/>
    <n v="7102"/>
    <n v="0"/>
    <s v="Y"/>
    <s v="No"/>
    <n v="18"/>
    <n v="3"/>
    <n v="1"/>
    <n v="80"/>
    <n v="1"/>
    <n v="8"/>
    <n v="3"/>
    <n v="3"/>
    <n v="7"/>
    <n v="7"/>
    <n v="7"/>
    <n v="7"/>
    <s v="5+ yrs"/>
  </r>
  <r>
    <n v="45"/>
    <x v="1"/>
    <s v="Travel_Frequently"/>
    <n v="1297"/>
    <x v="1"/>
    <n v="1"/>
    <n v="4"/>
    <s v="Medical"/>
    <n v="1"/>
    <n v="1922"/>
    <n v="2"/>
    <s v="Male"/>
    <n v="44"/>
    <n v="3"/>
    <n v="2"/>
    <s v="Healthcare Representative"/>
    <x v="2"/>
    <s v="Single"/>
    <x v="1260"/>
    <n v="14511"/>
    <n v="4"/>
    <s v="Y"/>
    <s v="No"/>
    <n v="12"/>
    <n v="3"/>
    <n v="3"/>
    <n v="80"/>
    <n v="0"/>
    <n v="12"/>
    <n v="3"/>
    <n v="3"/>
    <n v="4"/>
    <n v="2"/>
    <n v="0"/>
    <n v="3"/>
    <s v="3-5 yrs"/>
  </r>
  <r>
    <n v="33"/>
    <x v="1"/>
    <s v="Travel_Rarely"/>
    <n v="217"/>
    <x v="0"/>
    <n v="10"/>
    <n v="4"/>
    <s v="Marketing"/>
    <n v="1"/>
    <n v="1924"/>
    <n v="2"/>
    <s v="Male"/>
    <n v="43"/>
    <n v="3"/>
    <n v="2"/>
    <s v="Sales Executive"/>
    <x v="2"/>
    <s v="Single"/>
    <x v="1261"/>
    <n v="10410"/>
    <n v="1"/>
    <s v="Y"/>
    <s v="No"/>
    <n v="14"/>
    <n v="3"/>
    <n v="2"/>
    <n v="80"/>
    <n v="0"/>
    <n v="10"/>
    <n v="2"/>
    <n v="2"/>
    <n v="10"/>
    <n v="4"/>
    <n v="0"/>
    <n v="9"/>
    <s v="5+ yrs"/>
  </r>
  <r>
    <n v="28"/>
    <x v="1"/>
    <s v="Travel_Frequently"/>
    <n v="783"/>
    <x v="0"/>
    <n v="1"/>
    <n v="2"/>
    <s v="Life Sciences"/>
    <n v="1"/>
    <n v="1927"/>
    <n v="3"/>
    <s v="Male"/>
    <n v="42"/>
    <n v="2"/>
    <n v="2"/>
    <s v="Sales Executive"/>
    <x v="0"/>
    <s v="Married"/>
    <x v="1262"/>
    <n v="19255"/>
    <n v="1"/>
    <s v="Y"/>
    <s v="Yes"/>
    <n v="12"/>
    <n v="3"/>
    <n v="3"/>
    <n v="80"/>
    <n v="1"/>
    <n v="7"/>
    <n v="2"/>
    <n v="3"/>
    <n v="7"/>
    <n v="7"/>
    <n v="0"/>
    <n v="7"/>
    <s v="5+ yrs"/>
  </r>
  <r>
    <n v="29"/>
    <x v="0"/>
    <s v="Travel_Frequently"/>
    <n v="746"/>
    <x v="0"/>
    <n v="24"/>
    <n v="3"/>
    <s v="Technical Degree"/>
    <n v="1"/>
    <n v="1928"/>
    <n v="3"/>
    <s v="Male"/>
    <n v="45"/>
    <n v="4"/>
    <n v="1"/>
    <s v="Sales Representative"/>
    <x v="3"/>
    <s v="Single"/>
    <x v="1263"/>
    <n v="10642"/>
    <n v="1"/>
    <s v="Y"/>
    <s v="No"/>
    <n v="17"/>
    <n v="3"/>
    <n v="4"/>
    <n v="80"/>
    <n v="0"/>
    <n v="1"/>
    <n v="3"/>
    <n v="3"/>
    <n v="1"/>
    <n v="0"/>
    <n v="0"/>
    <n v="0"/>
    <s v="0-2 yrs"/>
  </r>
  <r>
    <n v="39"/>
    <x v="1"/>
    <s v="Non-Travel"/>
    <n v="1251"/>
    <x v="0"/>
    <n v="21"/>
    <n v="4"/>
    <s v="Life Sciences"/>
    <n v="1"/>
    <n v="1929"/>
    <n v="1"/>
    <s v="Female"/>
    <n v="32"/>
    <n v="1"/>
    <n v="2"/>
    <s v="Sales Executive"/>
    <x v="2"/>
    <s v="Married"/>
    <x v="1264"/>
    <n v="3987"/>
    <n v="6"/>
    <s v="Y"/>
    <s v="No"/>
    <n v="19"/>
    <n v="3"/>
    <n v="3"/>
    <n v="80"/>
    <n v="1"/>
    <n v="10"/>
    <n v="1"/>
    <n v="3"/>
    <n v="3"/>
    <n v="2"/>
    <n v="1"/>
    <n v="2"/>
    <s v="3-5 yrs"/>
  </r>
  <r>
    <n v="27"/>
    <x v="1"/>
    <s v="Travel_Rarely"/>
    <n v="1354"/>
    <x v="1"/>
    <n v="2"/>
    <n v="4"/>
    <s v="Technical Degree"/>
    <n v="1"/>
    <n v="1931"/>
    <n v="2"/>
    <s v="Male"/>
    <n v="41"/>
    <n v="3"/>
    <n v="1"/>
    <s v="Research Scientist"/>
    <x v="1"/>
    <s v="Married"/>
    <x v="1265"/>
    <n v="6073"/>
    <n v="1"/>
    <s v="Y"/>
    <s v="No"/>
    <n v="11"/>
    <n v="3"/>
    <n v="3"/>
    <n v="80"/>
    <n v="1"/>
    <n v="6"/>
    <n v="3"/>
    <n v="2"/>
    <n v="5"/>
    <n v="3"/>
    <n v="1"/>
    <n v="2"/>
    <s v="3-5 yrs"/>
  </r>
  <r>
    <n v="34"/>
    <x v="1"/>
    <s v="Travel_Frequently"/>
    <n v="735"/>
    <x v="1"/>
    <n v="22"/>
    <n v="4"/>
    <s v="Other"/>
    <n v="1"/>
    <n v="1932"/>
    <n v="3"/>
    <s v="Male"/>
    <n v="86"/>
    <n v="2"/>
    <n v="2"/>
    <s v="Research Scientist"/>
    <x v="0"/>
    <s v="Married"/>
    <x v="1266"/>
    <n v="26496"/>
    <n v="1"/>
    <s v="Y"/>
    <s v="Yes"/>
    <n v="15"/>
    <n v="3"/>
    <n v="2"/>
    <n v="80"/>
    <n v="0"/>
    <n v="16"/>
    <n v="3"/>
    <n v="3"/>
    <n v="15"/>
    <n v="10"/>
    <n v="6"/>
    <n v="11"/>
    <s v="5+ yrs"/>
  </r>
  <r>
    <n v="28"/>
    <x v="0"/>
    <s v="Travel_Rarely"/>
    <n v="1475"/>
    <x v="0"/>
    <n v="13"/>
    <n v="2"/>
    <s v="Marketing"/>
    <n v="1"/>
    <n v="1933"/>
    <n v="4"/>
    <s v="Female"/>
    <n v="84"/>
    <n v="3"/>
    <n v="2"/>
    <s v="Sales Executive"/>
    <x v="2"/>
    <s v="Single"/>
    <x v="1267"/>
    <n v="23352"/>
    <n v="3"/>
    <s v="Y"/>
    <s v="Yes"/>
    <n v="11"/>
    <n v="3"/>
    <n v="4"/>
    <n v="80"/>
    <n v="0"/>
    <n v="6"/>
    <n v="0"/>
    <n v="3"/>
    <n v="2"/>
    <n v="0"/>
    <n v="2"/>
    <n v="2"/>
    <s v="0-2 yrs"/>
  </r>
  <r>
    <n v="47"/>
    <x v="1"/>
    <s v="Non-Travel"/>
    <n v="1169"/>
    <x v="1"/>
    <n v="14"/>
    <n v="4"/>
    <s v="Technical Degree"/>
    <n v="1"/>
    <n v="1934"/>
    <n v="3"/>
    <s v="Male"/>
    <n v="64"/>
    <n v="3"/>
    <n v="2"/>
    <s v="Research Scientist"/>
    <x v="1"/>
    <s v="Married"/>
    <x v="931"/>
    <n v="2125"/>
    <n v="8"/>
    <s v="Y"/>
    <s v="No"/>
    <n v="18"/>
    <n v="3"/>
    <n v="3"/>
    <n v="80"/>
    <n v="1"/>
    <n v="16"/>
    <n v="4"/>
    <n v="4"/>
    <n v="8"/>
    <n v="7"/>
    <n v="1"/>
    <n v="7"/>
    <s v="5+ yrs"/>
  </r>
  <r>
    <n v="56"/>
    <x v="1"/>
    <s v="Travel_Rarely"/>
    <n v="1443"/>
    <x v="0"/>
    <n v="11"/>
    <n v="5"/>
    <s v="Marketing"/>
    <n v="1"/>
    <n v="1935"/>
    <n v="4"/>
    <s v="Female"/>
    <n v="89"/>
    <n v="2"/>
    <n v="2"/>
    <s v="Sales Executive"/>
    <x v="3"/>
    <s v="Married"/>
    <x v="1268"/>
    <n v="20328"/>
    <n v="4"/>
    <s v="Y"/>
    <s v="No"/>
    <n v="16"/>
    <n v="3"/>
    <n v="3"/>
    <n v="80"/>
    <n v="1"/>
    <n v="6"/>
    <n v="3"/>
    <n v="3"/>
    <n v="0"/>
    <n v="0"/>
    <n v="0"/>
    <n v="0"/>
    <s v="0-2 yrs"/>
  </r>
  <r>
    <n v="39"/>
    <x v="1"/>
    <s v="Travel_Rarely"/>
    <n v="867"/>
    <x v="1"/>
    <n v="9"/>
    <n v="2"/>
    <s v="Medical"/>
    <n v="1"/>
    <n v="1936"/>
    <n v="1"/>
    <s v="Male"/>
    <n v="87"/>
    <n v="3"/>
    <n v="2"/>
    <s v="Manufacturing Director"/>
    <x v="3"/>
    <s v="Married"/>
    <x v="1269"/>
    <n v="12315"/>
    <n v="1"/>
    <s v="Y"/>
    <s v="No"/>
    <n v="25"/>
    <n v="4"/>
    <n v="4"/>
    <n v="80"/>
    <n v="1"/>
    <n v="10"/>
    <n v="3"/>
    <n v="3"/>
    <n v="10"/>
    <n v="0"/>
    <n v="7"/>
    <n v="9"/>
    <s v="5+ yrs"/>
  </r>
  <r>
    <n v="38"/>
    <x v="1"/>
    <s v="Travel_Frequently"/>
    <n v="1394"/>
    <x v="1"/>
    <n v="8"/>
    <n v="3"/>
    <s v="Medical"/>
    <n v="1"/>
    <n v="1937"/>
    <n v="4"/>
    <s v="Female"/>
    <n v="58"/>
    <n v="2"/>
    <n v="2"/>
    <s v="Research Scientist"/>
    <x v="1"/>
    <s v="Divorced"/>
    <x v="1270"/>
    <n v="18115"/>
    <n v="1"/>
    <s v="Y"/>
    <s v="Yes"/>
    <n v="16"/>
    <n v="3"/>
    <n v="3"/>
    <n v="80"/>
    <n v="1"/>
    <n v="20"/>
    <n v="3"/>
    <n v="3"/>
    <n v="20"/>
    <n v="11"/>
    <n v="0"/>
    <n v="7"/>
    <s v="5+ yrs"/>
  </r>
  <r>
    <n v="58"/>
    <x v="1"/>
    <s v="Travel_Rarely"/>
    <n v="605"/>
    <x v="0"/>
    <n v="21"/>
    <n v="3"/>
    <s v="Life Sciences"/>
    <n v="1"/>
    <n v="1938"/>
    <n v="4"/>
    <s v="Female"/>
    <n v="72"/>
    <n v="3"/>
    <n v="4"/>
    <s v="Manager"/>
    <x v="0"/>
    <s v="Married"/>
    <x v="1271"/>
    <n v="11761"/>
    <n v="4"/>
    <s v="Y"/>
    <s v="Yes"/>
    <n v="13"/>
    <n v="3"/>
    <n v="3"/>
    <n v="80"/>
    <n v="1"/>
    <n v="29"/>
    <n v="2"/>
    <n v="2"/>
    <n v="1"/>
    <n v="0"/>
    <n v="0"/>
    <n v="0"/>
    <s v="0-2 yrs"/>
  </r>
  <r>
    <n v="32"/>
    <x v="0"/>
    <s v="Travel_Frequently"/>
    <n v="238"/>
    <x v="1"/>
    <n v="5"/>
    <n v="2"/>
    <s v="Life Sciences"/>
    <n v="1"/>
    <n v="1939"/>
    <n v="1"/>
    <s v="Female"/>
    <n v="47"/>
    <n v="4"/>
    <n v="1"/>
    <s v="Research Scientist"/>
    <x v="2"/>
    <s v="Single"/>
    <x v="1272"/>
    <n v="15318"/>
    <n v="3"/>
    <s v="Y"/>
    <s v="Yes"/>
    <n v="14"/>
    <n v="3"/>
    <n v="1"/>
    <n v="80"/>
    <n v="0"/>
    <n v="8"/>
    <n v="2"/>
    <n v="3"/>
    <n v="4"/>
    <n v="1"/>
    <n v="0"/>
    <n v="3"/>
    <s v="3-5 yrs"/>
  </r>
  <r>
    <n v="38"/>
    <x v="1"/>
    <s v="Travel_Rarely"/>
    <n v="1206"/>
    <x v="1"/>
    <n v="9"/>
    <n v="2"/>
    <s v="Life Sciences"/>
    <n v="1"/>
    <n v="1940"/>
    <n v="2"/>
    <s v="Male"/>
    <n v="71"/>
    <n v="3"/>
    <n v="1"/>
    <s v="Research Scientist"/>
    <x v="0"/>
    <s v="Divorced"/>
    <x v="1273"/>
    <n v="14293"/>
    <n v="2"/>
    <s v="Y"/>
    <s v="No"/>
    <n v="19"/>
    <n v="3"/>
    <n v="4"/>
    <n v="80"/>
    <n v="2"/>
    <n v="10"/>
    <n v="0"/>
    <n v="4"/>
    <n v="5"/>
    <n v="2"/>
    <n v="0"/>
    <n v="3"/>
    <s v="3-5 yrs"/>
  </r>
  <r>
    <n v="49"/>
    <x v="1"/>
    <s v="Travel_Frequently"/>
    <n v="1064"/>
    <x v="1"/>
    <n v="2"/>
    <n v="1"/>
    <s v="Life Sciences"/>
    <n v="1"/>
    <n v="1941"/>
    <n v="2"/>
    <s v="Male"/>
    <n v="42"/>
    <n v="3"/>
    <n v="5"/>
    <s v="Research Director"/>
    <x v="0"/>
    <s v="Married"/>
    <x v="1274"/>
    <n v="13738"/>
    <n v="3"/>
    <s v="Y"/>
    <s v="No"/>
    <n v="15"/>
    <n v="3"/>
    <n v="4"/>
    <n v="80"/>
    <n v="0"/>
    <n v="28"/>
    <n v="3"/>
    <n v="3"/>
    <n v="5"/>
    <n v="4"/>
    <n v="4"/>
    <n v="3"/>
    <s v="3-5 yrs"/>
  </r>
  <r>
    <n v="42"/>
    <x v="1"/>
    <s v="Travel_Rarely"/>
    <n v="419"/>
    <x v="0"/>
    <n v="12"/>
    <n v="4"/>
    <s v="Marketing"/>
    <n v="1"/>
    <n v="1943"/>
    <n v="2"/>
    <s v="Male"/>
    <n v="77"/>
    <n v="3"/>
    <n v="2"/>
    <s v="Sales Executive"/>
    <x v="0"/>
    <s v="Divorced"/>
    <x v="1275"/>
    <n v="2900"/>
    <n v="3"/>
    <s v="Y"/>
    <s v="Yes"/>
    <n v="12"/>
    <n v="3"/>
    <n v="3"/>
    <n v="80"/>
    <n v="2"/>
    <n v="14"/>
    <n v="4"/>
    <n v="3"/>
    <n v="0"/>
    <n v="0"/>
    <n v="0"/>
    <n v="0"/>
    <s v="0-2 yrs"/>
  </r>
  <r>
    <n v="27"/>
    <x v="0"/>
    <s v="Travel_Frequently"/>
    <n v="1337"/>
    <x v="2"/>
    <n v="22"/>
    <n v="3"/>
    <s v="Human Resources"/>
    <n v="1"/>
    <n v="1944"/>
    <n v="1"/>
    <s v="Female"/>
    <n v="58"/>
    <n v="2"/>
    <n v="1"/>
    <s v="Human Resources"/>
    <x v="1"/>
    <s v="Married"/>
    <x v="1276"/>
    <n v="19555"/>
    <n v="1"/>
    <s v="Y"/>
    <s v="No"/>
    <n v="12"/>
    <n v="3"/>
    <n v="1"/>
    <n v="80"/>
    <n v="0"/>
    <n v="1"/>
    <n v="2"/>
    <n v="3"/>
    <n v="1"/>
    <n v="0"/>
    <n v="0"/>
    <n v="0"/>
    <s v="0-2 yrs"/>
  </r>
  <r>
    <n v="35"/>
    <x v="1"/>
    <s v="Travel_Rarely"/>
    <n v="682"/>
    <x v="0"/>
    <n v="18"/>
    <n v="4"/>
    <s v="Medical"/>
    <n v="1"/>
    <n v="1945"/>
    <n v="2"/>
    <s v="Male"/>
    <n v="71"/>
    <n v="3"/>
    <n v="2"/>
    <s v="Sales Executive"/>
    <x v="3"/>
    <s v="Married"/>
    <x v="489"/>
    <n v="15975"/>
    <n v="0"/>
    <s v="Y"/>
    <s v="No"/>
    <n v="16"/>
    <n v="3"/>
    <n v="4"/>
    <n v="80"/>
    <n v="1"/>
    <n v="6"/>
    <n v="2"/>
    <n v="1"/>
    <n v="5"/>
    <n v="3"/>
    <n v="0"/>
    <n v="4"/>
    <s v="3-5 yrs"/>
  </r>
  <r>
    <n v="28"/>
    <x v="1"/>
    <s v="Non-Travel"/>
    <n v="1103"/>
    <x v="1"/>
    <n v="16"/>
    <n v="3"/>
    <s v="Medical"/>
    <n v="1"/>
    <n v="1947"/>
    <n v="3"/>
    <s v="Male"/>
    <n v="49"/>
    <n v="3"/>
    <n v="1"/>
    <s v="Research Scientist"/>
    <x v="2"/>
    <s v="Single"/>
    <x v="1277"/>
    <n v="2122"/>
    <n v="1"/>
    <s v="Y"/>
    <s v="No"/>
    <n v="14"/>
    <n v="3"/>
    <n v="3"/>
    <n v="80"/>
    <n v="0"/>
    <n v="5"/>
    <n v="3"/>
    <n v="2"/>
    <n v="5"/>
    <n v="3"/>
    <n v="1"/>
    <n v="4"/>
    <s v="3-5 yrs"/>
  </r>
  <r>
    <n v="31"/>
    <x v="1"/>
    <s v="Non-Travel"/>
    <n v="976"/>
    <x v="1"/>
    <n v="3"/>
    <n v="2"/>
    <s v="Medical"/>
    <n v="1"/>
    <n v="1948"/>
    <n v="3"/>
    <s v="Male"/>
    <n v="48"/>
    <n v="3"/>
    <n v="1"/>
    <s v="Research Scientist"/>
    <x v="3"/>
    <s v="Divorced"/>
    <x v="1278"/>
    <n v="3995"/>
    <n v="1"/>
    <s v="Y"/>
    <s v="Yes"/>
    <n v="13"/>
    <n v="3"/>
    <n v="4"/>
    <n v="80"/>
    <n v="1"/>
    <n v="4"/>
    <n v="3"/>
    <n v="4"/>
    <n v="4"/>
    <n v="2"/>
    <n v="2"/>
    <n v="3"/>
    <s v="3-5 yrs"/>
  </r>
  <r>
    <n v="36"/>
    <x v="1"/>
    <s v="Non-Travel"/>
    <n v="1351"/>
    <x v="1"/>
    <n v="9"/>
    <n v="4"/>
    <s v="Life Sciences"/>
    <n v="1"/>
    <n v="1949"/>
    <n v="1"/>
    <s v="Male"/>
    <n v="66"/>
    <n v="4"/>
    <n v="1"/>
    <s v="Laboratory Technician"/>
    <x v="1"/>
    <s v="Married"/>
    <x v="1279"/>
    <n v="9238"/>
    <n v="1"/>
    <s v="Y"/>
    <s v="No"/>
    <n v="22"/>
    <n v="4"/>
    <n v="2"/>
    <n v="80"/>
    <n v="0"/>
    <n v="5"/>
    <n v="3"/>
    <n v="3"/>
    <n v="5"/>
    <n v="4"/>
    <n v="0"/>
    <n v="2"/>
    <s v="3-5 yrs"/>
  </r>
  <r>
    <n v="34"/>
    <x v="1"/>
    <s v="Travel_Rarely"/>
    <n v="937"/>
    <x v="0"/>
    <n v="1"/>
    <n v="3"/>
    <s v="Marketing"/>
    <n v="1"/>
    <n v="1950"/>
    <n v="1"/>
    <s v="Male"/>
    <n v="32"/>
    <n v="3"/>
    <n v="3"/>
    <s v="Sales Executive"/>
    <x v="0"/>
    <s v="Single"/>
    <x v="1280"/>
    <n v="6770"/>
    <n v="1"/>
    <s v="Y"/>
    <s v="No"/>
    <n v="21"/>
    <n v="4"/>
    <n v="1"/>
    <n v="80"/>
    <n v="0"/>
    <n v="14"/>
    <n v="3"/>
    <n v="2"/>
    <n v="14"/>
    <n v="8"/>
    <n v="2"/>
    <n v="1"/>
    <s v="5+ yrs"/>
  </r>
  <r>
    <n v="34"/>
    <x v="1"/>
    <s v="Travel_Rarely"/>
    <n v="1239"/>
    <x v="0"/>
    <n v="13"/>
    <n v="4"/>
    <s v="Medical"/>
    <n v="1"/>
    <n v="1951"/>
    <n v="4"/>
    <s v="Male"/>
    <n v="39"/>
    <n v="3"/>
    <n v="3"/>
    <s v="Sales Executive"/>
    <x v="2"/>
    <s v="Divorced"/>
    <x v="1281"/>
    <n v="22914"/>
    <n v="1"/>
    <s v="Y"/>
    <s v="No"/>
    <n v="18"/>
    <n v="3"/>
    <n v="3"/>
    <n v="80"/>
    <n v="1"/>
    <n v="9"/>
    <n v="2"/>
    <n v="2"/>
    <n v="8"/>
    <n v="7"/>
    <n v="1"/>
    <n v="1"/>
    <s v="5+ yrs"/>
  </r>
  <r>
    <n v="26"/>
    <x v="1"/>
    <s v="Travel_Rarely"/>
    <n v="157"/>
    <x v="1"/>
    <n v="1"/>
    <n v="3"/>
    <s v="Medical"/>
    <n v="1"/>
    <n v="1952"/>
    <n v="3"/>
    <s v="Male"/>
    <n v="95"/>
    <n v="3"/>
    <n v="1"/>
    <s v="Laboratory Technician"/>
    <x v="3"/>
    <s v="Single"/>
    <x v="1282"/>
    <n v="20006"/>
    <n v="0"/>
    <s v="Y"/>
    <s v="No"/>
    <n v="13"/>
    <n v="3"/>
    <n v="4"/>
    <n v="80"/>
    <n v="0"/>
    <n v="8"/>
    <n v="6"/>
    <n v="2"/>
    <n v="7"/>
    <n v="7"/>
    <n v="7"/>
    <n v="6"/>
    <s v="5+ yrs"/>
  </r>
  <r>
    <n v="29"/>
    <x v="1"/>
    <s v="Travel_Rarely"/>
    <n v="136"/>
    <x v="1"/>
    <n v="1"/>
    <n v="3"/>
    <s v="Life Sciences"/>
    <n v="1"/>
    <n v="1954"/>
    <n v="1"/>
    <s v="Male"/>
    <n v="89"/>
    <n v="3"/>
    <n v="2"/>
    <s v="Healthcare Representative"/>
    <x v="3"/>
    <s v="Married"/>
    <x v="1283"/>
    <n v="6225"/>
    <n v="0"/>
    <s v="Y"/>
    <s v="No"/>
    <n v="12"/>
    <n v="3"/>
    <n v="1"/>
    <n v="80"/>
    <n v="1"/>
    <n v="6"/>
    <n v="5"/>
    <n v="2"/>
    <n v="5"/>
    <n v="3"/>
    <n v="0"/>
    <n v="2"/>
    <s v="3-5 yrs"/>
  </r>
  <r>
    <n v="32"/>
    <x v="1"/>
    <s v="Non-Travel"/>
    <n v="1146"/>
    <x v="1"/>
    <n v="15"/>
    <n v="4"/>
    <s v="Medical"/>
    <n v="1"/>
    <n v="1955"/>
    <n v="3"/>
    <s v="Female"/>
    <n v="34"/>
    <n v="3"/>
    <n v="2"/>
    <s v="Healthcare Representative"/>
    <x v="0"/>
    <s v="Divorced"/>
    <x v="1284"/>
    <n v="16542"/>
    <n v="5"/>
    <s v="Y"/>
    <s v="No"/>
    <n v="18"/>
    <n v="3"/>
    <n v="2"/>
    <n v="80"/>
    <n v="1"/>
    <n v="9"/>
    <n v="6"/>
    <n v="3"/>
    <n v="5"/>
    <n v="1"/>
    <n v="1"/>
    <n v="2"/>
    <s v="3-5 yrs"/>
  </r>
  <r>
    <n v="31"/>
    <x v="1"/>
    <s v="Travel_Frequently"/>
    <n v="1125"/>
    <x v="1"/>
    <n v="1"/>
    <n v="3"/>
    <s v="Life Sciences"/>
    <n v="1"/>
    <n v="1956"/>
    <n v="4"/>
    <s v="Male"/>
    <n v="48"/>
    <n v="1"/>
    <n v="2"/>
    <s v="Research Scientist"/>
    <x v="3"/>
    <s v="Married"/>
    <x v="701"/>
    <n v="5771"/>
    <n v="1"/>
    <s v="Y"/>
    <s v="No"/>
    <n v="21"/>
    <n v="4"/>
    <n v="2"/>
    <n v="80"/>
    <n v="0"/>
    <n v="10"/>
    <n v="6"/>
    <n v="3"/>
    <n v="10"/>
    <n v="8"/>
    <n v="8"/>
    <n v="7"/>
    <s v="5+ yrs"/>
  </r>
  <r>
    <n v="28"/>
    <x v="0"/>
    <s v="Travel_Rarely"/>
    <n v="1404"/>
    <x v="1"/>
    <n v="17"/>
    <n v="3"/>
    <s v="Technical Degree"/>
    <n v="1"/>
    <n v="1960"/>
    <n v="3"/>
    <s v="Male"/>
    <n v="32"/>
    <n v="2"/>
    <n v="1"/>
    <s v="Laboratory Technician"/>
    <x v="0"/>
    <s v="Divorced"/>
    <x v="1039"/>
    <n v="18779"/>
    <n v="5"/>
    <s v="Y"/>
    <s v="No"/>
    <n v="12"/>
    <n v="3"/>
    <n v="1"/>
    <n v="80"/>
    <n v="1"/>
    <n v="6"/>
    <n v="2"/>
    <n v="2"/>
    <n v="4"/>
    <n v="1"/>
    <n v="0"/>
    <n v="3"/>
    <s v="3-5 yrs"/>
  </r>
  <r>
    <n v="38"/>
    <x v="1"/>
    <s v="Travel_Rarely"/>
    <n v="1404"/>
    <x v="0"/>
    <n v="1"/>
    <n v="3"/>
    <s v="Life Sciences"/>
    <n v="1"/>
    <n v="1961"/>
    <n v="1"/>
    <s v="Male"/>
    <n v="59"/>
    <n v="2"/>
    <n v="1"/>
    <s v="Sales Representative"/>
    <x v="3"/>
    <s v="Single"/>
    <x v="1285"/>
    <n v="11473"/>
    <n v="4"/>
    <s v="Y"/>
    <s v="No"/>
    <n v="14"/>
    <n v="3"/>
    <n v="1"/>
    <n v="80"/>
    <n v="0"/>
    <n v="20"/>
    <n v="3"/>
    <n v="2"/>
    <n v="1"/>
    <n v="0"/>
    <n v="0"/>
    <n v="0"/>
    <s v="0-2 yrs"/>
  </r>
  <r>
    <n v="35"/>
    <x v="1"/>
    <s v="Travel_Rarely"/>
    <n v="1224"/>
    <x v="0"/>
    <n v="7"/>
    <n v="4"/>
    <s v="Life Sciences"/>
    <n v="1"/>
    <n v="1962"/>
    <n v="3"/>
    <s v="Female"/>
    <n v="55"/>
    <n v="3"/>
    <n v="2"/>
    <s v="Sales Executive"/>
    <x v="0"/>
    <s v="Married"/>
    <x v="626"/>
    <n v="13586"/>
    <n v="1"/>
    <s v="Y"/>
    <s v="Yes"/>
    <n v="11"/>
    <n v="3"/>
    <n v="4"/>
    <n v="80"/>
    <n v="0"/>
    <n v="10"/>
    <n v="2"/>
    <n v="3"/>
    <n v="10"/>
    <n v="8"/>
    <n v="0"/>
    <n v="9"/>
    <s v="5+ yrs"/>
  </r>
  <r>
    <n v="27"/>
    <x v="1"/>
    <s v="Travel_Rarely"/>
    <n v="954"/>
    <x v="0"/>
    <n v="9"/>
    <n v="3"/>
    <s v="Marketing"/>
    <n v="1"/>
    <n v="1965"/>
    <n v="4"/>
    <s v="Male"/>
    <n v="44"/>
    <n v="3"/>
    <n v="2"/>
    <s v="Sales Executive"/>
    <x v="0"/>
    <s v="Single"/>
    <x v="1286"/>
    <n v="5099"/>
    <n v="1"/>
    <s v="Y"/>
    <s v="No"/>
    <n v="14"/>
    <n v="3"/>
    <n v="1"/>
    <n v="80"/>
    <n v="0"/>
    <n v="7"/>
    <n v="5"/>
    <n v="3"/>
    <n v="7"/>
    <n v="7"/>
    <n v="0"/>
    <n v="7"/>
    <s v="5+ yrs"/>
  </r>
  <r>
    <n v="32"/>
    <x v="1"/>
    <s v="Travel_Rarely"/>
    <n v="1373"/>
    <x v="1"/>
    <n v="5"/>
    <n v="4"/>
    <s v="Life Sciences"/>
    <n v="1"/>
    <n v="1966"/>
    <n v="4"/>
    <s v="Male"/>
    <n v="56"/>
    <n v="2"/>
    <n v="2"/>
    <s v="Manufacturing Director"/>
    <x v="0"/>
    <s v="Single"/>
    <x v="1287"/>
    <n v="10138"/>
    <n v="8"/>
    <s v="Y"/>
    <s v="No"/>
    <n v="24"/>
    <n v="4"/>
    <n v="2"/>
    <n v="80"/>
    <n v="0"/>
    <n v="8"/>
    <n v="1"/>
    <n v="3"/>
    <n v="1"/>
    <n v="0"/>
    <n v="0"/>
    <n v="0"/>
    <s v="0-2 yrs"/>
  </r>
  <r>
    <n v="31"/>
    <x v="0"/>
    <s v="Travel_Frequently"/>
    <n v="754"/>
    <x v="0"/>
    <n v="26"/>
    <n v="4"/>
    <s v="Marketing"/>
    <n v="1"/>
    <n v="1967"/>
    <n v="1"/>
    <s v="Male"/>
    <n v="63"/>
    <n v="3"/>
    <n v="2"/>
    <s v="Sales Executive"/>
    <x v="0"/>
    <s v="Married"/>
    <x v="1288"/>
    <n v="21075"/>
    <n v="1"/>
    <s v="Y"/>
    <s v="Yes"/>
    <n v="11"/>
    <n v="3"/>
    <n v="3"/>
    <n v="80"/>
    <n v="0"/>
    <n v="10"/>
    <n v="4"/>
    <n v="3"/>
    <n v="10"/>
    <n v="7"/>
    <n v="0"/>
    <n v="8"/>
    <s v="5+ yrs"/>
  </r>
  <r>
    <n v="53"/>
    <x v="0"/>
    <s v="Travel_Rarely"/>
    <n v="1168"/>
    <x v="0"/>
    <n v="24"/>
    <n v="4"/>
    <s v="Life Sciences"/>
    <n v="1"/>
    <n v="1968"/>
    <n v="1"/>
    <s v="Male"/>
    <n v="66"/>
    <n v="3"/>
    <n v="3"/>
    <s v="Sales Executive"/>
    <x v="3"/>
    <s v="Single"/>
    <x v="1289"/>
    <n v="5843"/>
    <n v="6"/>
    <s v="Y"/>
    <s v="Yes"/>
    <n v="13"/>
    <n v="3"/>
    <n v="2"/>
    <n v="80"/>
    <n v="0"/>
    <n v="15"/>
    <n v="2"/>
    <n v="2"/>
    <n v="2"/>
    <n v="2"/>
    <n v="2"/>
    <n v="2"/>
    <s v="0-2 yrs"/>
  </r>
  <r>
    <n v="54"/>
    <x v="1"/>
    <s v="Travel_Rarely"/>
    <n v="155"/>
    <x v="1"/>
    <n v="9"/>
    <n v="2"/>
    <s v="Life Sciences"/>
    <n v="1"/>
    <n v="1969"/>
    <n v="1"/>
    <s v="Female"/>
    <n v="67"/>
    <n v="3"/>
    <n v="2"/>
    <s v="Research Scientist"/>
    <x v="2"/>
    <s v="Married"/>
    <x v="1290"/>
    <n v="22474"/>
    <n v="3"/>
    <s v="Y"/>
    <s v="No"/>
    <n v="11"/>
    <n v="3"/>
    <n v="3"/>
    <n v="80"/>
    <n v="2"/>
    <n v="9"/>
    <n v="6"/>
    <n v="2"/>
    <n v="4"/>
    <n v="3"/>
    <n v="2"/>
    <n v="3"/>
    <s v="3-5 yrs"/>
  </r>
  <r>
    <n v="33"/>
    <x v="1"/>
    <s v="Travel_Frequently"/>
    <n v="1303"/>
    <x v="1"/>
    <n v="7"/>
    <n v="2"/>
    <s v="Life Sciences"/>
    <n v="1"/>
    <n v="1970"/>
    <n v="4"/>
    <s v="Male"/>
    <n v="36"/>
    <n v="3"/>
    <n v="2"/>
    <s v="Healthcare Representative"/>
    <x v="2"/>
    <s v="Divorced"/>
    <x v="1291"/>
    <n v="18079"/>
    <n v="1"/>
    <s v="Y"/>
    <s v="No"/>
    <n v="20"/>
    <n v="4"/>
    <n v="3"/>
    <n v="80"/>
    <n v="3"/>
    <n v="9"/>
    <n v="2"/>
    <n v="3"/>
    <n v="9"/>
    <n v="7"/>
    <n v="2"/>
    <n v="8"/>
    <s v="5+ yrs"/>
  </r>
  <r>
    <n v="43"/>
    <x v="1"/>
    <s v="Travel_Rarely"/>
    <n v="574"/>
    <x v="1"/>
    <n v="11"/>
    <n v="3"/>
    <s v="Life Sciences"/>
    <n v="1"/>
    <n v="1971"/>
    <n v="1"/>
    <s v="Male"/>
    <n v="30"/>
    <n v="3"/>
    <n v="3"/>
    <s v="Healthcare Representative"/>
    <x v="2"/>
    <s v="Married"/>
    <x v="1292"/>
    <n v="16873"/>
    <n v="1"/>
    <s v="Y"/>
    <s v="No"/>
    <n v="17"/>
    <n v="3"/>
    <n v="2"/>
    <n v="80"/>
    <n v="1"/>
    <n v="10"/>
    <n v="1"/>
    <n v="3"/>
    <n v="10"/>
    <n v="9"/>
    <n v="0"/>
    <n v="9"/>
    <s v="5+ yrs"/>
  </r>
  <r>
    <n v="38"/>
    <x v="1"/>
    <s v="Travel_Frequently"/>
    <n v="1444"/>
    <x v="2"/>
    <n v="1"/>
    <n v="4"/>
    <s v="Other"/>
    <n v="1"/>
    <n v="1972"/>
    <n v="4"/>
    <s v="Male"/>
    <n v="88"/>
    <n v="3"/>
    <n v="1"/>
    <s v="Human Resources"/>
    <x v="1"/>
    <s v="Married"/>
    <x v="1293"/>
    <n v="5224"/>
    <n v="0"/>
    <s v="Y"/>
    <s v="Yes"/>
    <n v="11"/>
    <n v="3"/>
    <n v="2"/>
    <n v="80"/>
    <n v="1"/>
    <n v="7"/>
    <n v="2"/>
    <n v="3"/>
    <n v="6"/>
    <n v="2"/>
    <n v="1"/>
    <n v="2"/>
    <s v="5+ yrs"/>
  </r>
  <r>
    <n v="55"/>
    <x v="1"/>
    <s v="Travel_Rarely"/>
    <n v="189"/>
    <x v="2"/>
    <n v="26"/>
    <n v="4"/>
    <s v="Human Resources"/>
    <n v="1"/>
    <n v="1973"/>
    <n v="3"/>
    <s v="Male"/>
    <n v="71"/>
    <n v="4"/>
    <n v="5"/>
    <s v="Manager"/>
    <x v="1"/>
    <s v="Married"/>
    <x v="1294"/>
    <n v="25811"/>
    <n v="4"/>
    <s v="Y"/>
    <s v="Yes"/>
    <n v="18"/>
    <n v="3"/>
    <n v="1"/>
    <n v="80"/>
    <n v="1"/>
    <n v="35"/>
    <n v="0"/>
    <n v="3"/>
    <n v="10"/>
    <n v="9"/>
    <n v="1"/>
    <n v="4"/>
    <s v="5+ yrs"/>
  </r>
  <r>
    <n v="31"/>
    <x v="1"/>
    <s v="Travel_Rarely"/>
    <n v="1276"/>
    <x v="1"/>
    <n v="2"/>
    <n v="1"/>
    <s v="Medical"/>
    <n v="1"/>
    <n v="1974"/>
    <n v="4"/>
    <s v="Female"/>
    <n v="59"/>
    <n v="1"/>
    <n v="1"/>
    <s v="Laboratory Technician"/>
    <x v="0"/>
    <s v="Divorced"/>
    <x v="1295"/>
    <n v="17536"/>
    <n v="1"/>
    <s v="Y"/>
    <s v="Yes"/>
    <n v="11"/>
    <n v="3"/>
    <n v="3"/>
    <n v="80"/>
    <n v="3"/>
    <n v="1"/>
    <n v="4"/>
    <n v="3"/>
    <n v="1"/>
    <n v="0"/>
    <n v="0"/>
    <n v="0"/>
    <s v="0-2 yrs"/>
  </r>
  <r>
    <n v="39"/>
    <x v="1"/>
    <s v="Travel_Rarely"/>
    <n v="119"/>
    <x v="0"/>
    <n v="15"/>
    <n v="4"/>
    <s v="Marketing"/>
    <n v="1"/>
    <n v="1975"/>
    <n v="2"/>
    <s v="Male"/>
    <n v="77"/>
    <n v="3"/>
    <n v="4"/>
    <s v="Sales Executive"/>
    <x v="3"/>
    <s v="Single"/>
    <x v="1296"/>
    <n v="25098"/>
    <n v="0"/>
    <s v="Y"/>
    <s v="No"/>
    <n v="12"/>
    <n v="3"/>
    <n v="1"/>
    <n v="80"/>
    <n v="0"/>
    <n v="21"/>
    <n v="3"/>
    <n v="3"/>
    <n v="20"/>
    <n v="8"/>
    <n v="11"/>
    <n v="10"/>
    <s v="5+ yrs"/>
  </r>
  <r>
    <n v="42"/>
    <x v="1"/>
    <s v="Non-Travel"/>
    <n v="335"/>
    <x v="1"/>
    <n v="23"/>
    <n v="2"/>
    <s v="Life Sciences"/>
    <n v="1"/>
    <n v="1976"/>
    <n v="4"/>
    <s v="Male"/>
    <n v="37"/>
    <n v="2"/>
    <n v="2"/>
    <s v="Research Scientist"/>
    <x v="2"/>
    <s v="Single"/>
    <x v="1297"/>
    <n v="14811"/>
    <n v="1"/>
    <s v="Y"/>
    <s v="No"/>
    <n v="12"/>
    <n v="3"/>
    <n v="4"/>
    <n v="80"/>
    <n v="0"/>
    <n v="20"/>
    <n v="2"/>
    <n v="3"/>
    <n v="20"/>
    <n v="9"/>
    <n v="3"/>
    <n v="7"/>
    <s v="5+ yrs"/>
  </r>
  <r>
    <n v="31"/>
    <x v="1"/>
    <s v="Non-Travel"/>
    <n v="697"/>
    <x v="1"/>
    <n v="10"/>
    <n v="3"/>
    <s v="Medical"/>
    <n v="1"/>
    <n v="1979"/>
    <n v="3"/>
    <s v="Female"/>
    <n v="40"/>
    <n v="3"/>
    <n v="3"/>
    <s v="Research Director"/>
    <x v="2"/>
    <s v="Married"/>
    <x v="1298"/>
    <n v="26862"/>
    <n v="4"/>
    <s v="Y"/>
    <s v="No"/>
    <n v="20"/>
    <n v="4"/>
    <n v="3"/>
    <n v="80"/>
    <n v="1"/>
    <n v="13"/>
    <n v="2"/>
    <n v="4"/>
    <n v="11"/>
    <n v="7"/>
    <n v="4"/>
    <n v="8"/>
    <s v="5+ yrs"/>
  </r>
  <r>
    <n v="54"/>
    <x v="1"/>
    <s v="Travel_Rarely"/>
    <n v="157"/>
    <x v="1"/>
    <n v="10"/>
    <n v="3"/>
    <s v="Medical"/>
    <n v="1"/>
    <n v="1980"/>
    <n v="3"/>
    <s v="Female"/>
    <n v="77"/>
    <n v="3"/>
    <n v="2"/>
    <s v="Manufacturing Director"/>
    <x v="3"/>
    <s v="Single"/>
    <x v="1299"/>
    <n v="25198"/>
    <n v="6"/>
    <s v="Y"/>
    <s v="Yes"/>
    <n v="19"/>
    <n v="3"/>
    <n v="4"/>
    <n v="80"/>
    <n v="0"/>
    <n v="9"/>
    <n v="3"/>
    <n v="3"/>
    <n v="5"/>
    <n v="2"/>
    <n v="1"/>
    <n v="4"/>
    <s v="3-5 yrs"/>
  </r>
  <r>
    <n v="24"/>
    <x v="1"/>
    <s v="Travel_Rarely"/>
    <n v="771"/>
    <x v="1"/>
    <n v="1"/>
    <n v="2"/>
    <s v="Life Sciences"/>
    <n v="1"/>
    <n v="1981"/>
    <n v="2"/>
    <s v="Male"/>
    <n v="45"/>
    <n v="2"/>
    <n v="2"/>
    <s v="Healthcare Representative"/>
    <x v="2"/>
    <s v="Single"/>
    <x v="1300"/>
    <n v="14120"/>
    <n v="1"/>
    <s v="Y"/>
    <s v="No"/>
    <n v="12"/>
    <n v="3"/>
    <n v="2"/>
    <n v="80"/>
    <n v="0"/>
    <n v="4"/>
    <n v="2"/>
    <n v="2"/>
    <n v="4"/>
    <n v="3"/>
    <n v="1"/>
    <n v="2"/>
    <s v="3-5 yrs"/>
  </r>
  <r>
    <n v="23"/>
    <x v="1"/>
    <s v="Travel_Rarely"/>
    <n v="571"/>
    <x v="1"/>
    <n v="12"/>
    <n v="2"/>
    <s v="Other"/>
    <n v="1"/>
    <n v="1982"/>
    <n v="4"/>
    <s v="Male"/>
    <n v="78"/>
    <n v="3"/>
    <n v="1"/>
    <s v="Laboratory Technician"/>
    <x v="0"/>
    <s v="Single"/>
    <x v="1301"/>
    <n v="13672"/>
    <n v="1"/>
    <s v="Y"/>
    <s v="No"/>
    <n v="13"/>
    <n v="3"/>
    <n v="3"/>
    <n v="80"/>
    <n v="0"/>
    <n v="5"/>
    <n v="6"/>
    <n v="4"/>
    <n v="5"/>
    <n v="2"/>
    <n v="1"/>
    <n v="4"/>
    <s v="3-5 yrs"/>
  </r>
  <r>
    <n v="40"/>
    <x v="1"/>
    <s v="Travel_Frequently"/>
    <n v="692"/>
    <x v="1"/>
    <n v="11"/>
    <n v="3"/>
    <s v="Technical Degree"/>
    <n v="1"/>
    <n v="1985"/>
    <n v="4"/>
    <s v="Female"/>
    <n v="73"/>
    <n v="3"/>
    <n v="2"/>
    <s v="Laboratory Technician"/>
    <x v="2"/>
    <s v="Married"/>
    <x v="1302"/>
    <n v="26849"/>
    <n v="1"/>
    <s v="Y"/>
    <s v="No"/>
    <n v="11"/>
    <n v="3"/>
    <n v="1"/>
    <n v="80"/>
    <n v="1"/>
    <n v="10"/>
    <n v="2"/>
    <n v="4"/>
    <n v="10"/>
    <n v="9"/>
    <n v="9"/>
    <n v="4"/>
    <s v="5+ yrs"/>
  </r>
  <r>
    <n v="40"/>
    <x v="1"/>
    <s v="Travel_Rarely"/>
    <n v="444"/>
    <x v="0"/>
    <n v="2"/>
    <n v="2"/>
    <s v="Marketing"/>
    <n v="1"/>
    <n v="1986"/>
    <n v="2"/>
    <s v="Female"/>
    <n v="92"/>
    <n v="3"/>
    <n v="2"/>
    <s v="Sales Executive"/>
    <x v="1"/>
    <s v="Married"/>
    <x v="1303"/>
    <n v="4258"/>
    <n v="3"/>
    <s v="Y"/>
    <s v="No"/>
    <n v="14"/>
    <n v="3"/>
    <n v="3"/>
    <n v="80"/>
    <n v="1"/>
    <n v="15"/>
    <n v="4"/>
    <n v="3"/>
    <n v="11"/>
    <n v="8"/>
    <n v="5"/>
    <n v="10"/>
    <s v="5+ yrs"/>
  </r>
  <r>
    <n v="25"/>
    <x v="1"/>
    <s v="Travel_Rarely"/>
    <n v="309"/>
    <x v="2"/>
    <n v="2"/>
    <n v="3"/>
    <s v="Human Resources"/>
    <n v="1"/>
    <n v="1987"/>
    <n v="3"/>
    <s v="Female"/>
    <n v="82"/>
    <n v="3"/>
    <n v="1"/>
    <s v="Human Resources"/>
    <x v="1"/>
    <s v="Married"/>
    <x v="467"/>
    <n v="19655"/>
    <n v="4"/>
    <s v="Y"/>
    <s v="No"/>
    <n v="14"/>
    <n v="3"/>
    <n v="3"/>
    <n v="80"/>
    <n v="0"/>
    <n v="6"/>
    <n v="3"/>
    <n v="3"/>
    <n v="2"/>
    <n v="0"/>
    <n v="1"/>
    <n v="2"/>
    <s v="0-2 yrs"/>
  </r>
  <r>
    <n v="30"/>
    <x v="1"/>
    <s v="Travel_Rarely"/>
    <n v="911"/>
    <x v="1"/>
    <n v="1"/>
    <n v="2"/>
    <s v="Medical"/>
    <n v="1"/>
    <n v="1989"/>
    <n v="4"/>
    <s v="Male"/>
    <n v="76"/>
    <n v="3"/>
    <n v="1"/>
    <s v="Laboratory Technician"/>
    <x v="1"/>
    <s v="Married"/>
    <x v="1304"/>
    <n v="4077"/>
    <n v="1"/>
    <s v="Y"/>
    <s v="No"/>
    <n v="13"/>
    <n v="3"/>
    <n v="3"/>
    <n v="80"/>
    <n v="0"/>
    <n v="12"/>
    <n v="6"/>
    <n v="2"/>
    <n v="12"/>
    <n v="8"/>
    <n v="1"/>
    <n v="7"/>
    <s v="5+ yrs"/>
  </r>
  <r>
    <n v="25"/>
    <x v="1"/>
    <s v="Travel_Rarely"/>
    <n v="977"/>
    <x v="1"/>
    <n v="2"/>
    <n v="1"/>
    <s v="Other"/>
    <n v="1"/>
    <n v="1992"/>
    <n v="4"/>
    <s v="Male"/>
    <n v="57"/>
    <n v="3"/>
    <n v="1"/>
    <s v="Laboratory Technician"/>
    <x v="2"/>
    <s v="Divorced"/>
    <x v="1305"/>
    <n v="7298"/>
    <n v="6"/>
    <s v="Y"/>
    <s v="Yes"/>
    <n v="19"/>
    <n v="3"/>
    <n v="3"/>
    <n v="80"/>
    <n v="1"/>
    <n v="7"/>
    <n v="2"/>
    <n v="2"/>
    <n v="2"/>
    <n v="2"/>
    <n v="0"/>
    <n v="2"/>
    <s v="0-2 yrs"/>
  </r>
  <r>
    <n v="47"/>
    <x v="1"/>
    <s v="Travel_Rarely"/>
    <n v="1180"/>
    <x v="1"/>
    <n v="25"/>
    <n v="3"/>
    <s v="Medical"/>
    <n v="1"/>
    <n v="1993"/>
    <n v="1"/>
    <s v="Male"/>
    <n v="84"/>
    <n v="3"/>
    <n v="3"/>
    <s v="Healthcare Representative"/>
    <x v="2"/>
    <s v="Single"/>
    <x v="1306"/>
    <n v="13084"/>
    <n v="2"/>
    <s v="Y"/>
    <s v="No"/>
    <n v="23"/>
    <n v="4"/>
    <n v="2"/>
    <n v="80"/>
    <n v="0"/>
    <n v="25"/>
    <n v="3"/>
    <n v="3"/>
    <n v="17"/>
    <n v="14"/>
    <n v="12"/>
    <n v="11"/>
    <s v="5+ yrs"/>
  </r>
  <r>
    <n v="33"/>
    <x v="1"/>
    <s v="Non-Travel"/>
    <n v="1313"/>
    <x v="1"/>
    <n v="1"/>
    <n v="2"/>
    <s v="Medical"/>
    <n v="1"/>
    <n v="1994"/>
    <n v="2"/>
    <s v="Male"/>
    <n v="59"/>
    <n v="2"/>
    <n v="1"/>
    <s v="Laboratory Technician"/>
    <x v="2"/>
    <s v="Divorced"/>
    <x v="641"/>
    <n v="20439"/>
    <n v="1"/>
    <s v="Y"/>
    <s v="No"/>
    <n v="12"/>
    <n v="3"/>
    <n v="3"/>
    <n v="80"/>
    <n v="3"/>
    <n v="1"/>
    <n v="2"/>
    <n v="2"/>
    <n v="1"/>
    <n v="1"/>
    <n v="0"/>
    <n v="0"/>
    <s v="0-2 yrs"/>
  </r>
  <r>
    <n v="38"/>
    <x v="1"/>
    <s v="Travel_Rarely"/>
    <n v="1321"/>
    <x v="0"/>
    <n v="1"/>
    <n v="4"/>
    <s v="Life Sciences"/>
    <n v="1"/>
    <n v="1995"/>
    <n v="4"/>
    <s v="Male"/>
    <n v="86"/>
    <n v="3"/>
    <n v="2"/>
    <s v="Sales Executive"/>
    <x v="1"/>
    <s v="Married"/>
    <x v="1299"/>
    <n v="7636"/>
    <n v="0"/>
    <s v="Y"/>
    <s v="No"/>
    <n v="15"/>
    <n v="3"/>
    <n v="1"/>
    <n v="80"/>
    <n v="2"/>
    <n v="16"/>
    <n v="3"/>
    <n v="3"/>
    <n v="15"/>
    <n v="13"/>
    <n v="5"/>
    <n v="8"/>
    <s v="5+ yrs"/>
  </r>
  <r>
    <n v="31"/>
    <x v="1"/>
    <s v="Travel_Rarely"/>
    <n v="1154"/>
    <x v="0"/>
    <n v="2"/>
    <n v="2"/>
    <s v="Life Sciences"/>
    <n v="1"/>
    <n v="1996"/>
    <n v="1"/>
    <s v="Male"/>
    <n v="54"/>
    <n v="3"/>
    <n v="1"/>
    <s v="Sales Representative"/>
    <x v="2"/>
    <s v="Married"/>
    <x v="1307"/>
    <n v="6393"/>
    <n v="0"/>
    <s v="Y"/>
    <s v="No"/>
    <n v="19"/>
    <n v="3"/>
    <n v="3"/>
    <n v="80"/>
    <n v="1"/>
    <n v="3"/>
    <n v="1"/>
    <n v="3"/>
    <n v="2"/>
    <n v="2"/>
    <n v="1"/>
    <n v="2"/>
    <s v="0-2 yrs"/>
  </r>
  <r>
    <n v="38"/>
    <x v="1"/>
    <s v="Travel_Frequently"/>
    <n v="508"/>
    <x v="1"/>
    <n v="6"/>
    <n v="4"/>
    <s v="Life Sciences"/>
    <n v="1"/>
    <n v="1997"/>
    <n v="1"/>
    <s v="Male"/>
    <n v="72"/>
    <n v="2"/>
    <n v="2"/>
    <s v="Manufacturing Director"/>
    <x v="2"/>
    <s v="Married"/>
    <x v="1308"/>
    <n v="14284"/>
    <n v="2"/>
    <s v="Y"/>
    <s v="No"/>
    <n v="11"/>
    <n v="3"/>
    <n v="4"/>
    <n v="80"/>
    <n v="1"/>
    <n v="10"/>
    <n v="1"/>
    <n v="3"/>
    <n v="8"/>
    <n v="3"/>
    <n v="7"/>
    <n v="7"/>
    <s v="5+ yrs"/>
  </r>
  <r>
    <n v="42"/>
    <x v="1"/>
    <s v="Travel_Rarely"/>
    <n v="557"/>
    <x v="1"/>
    <n v="18"/>
    <n v="4"/>
    <s v="Life Sciences"/>
    <n v="1"/>
    <n v="1998"/>
    <n v="4"/>
    <s v="Male"/>
    <n v="35"/>
    <n v="3"/>
    <n v="2"/>
    <s v="Research Scientist"/>
    <x v="3"/>
    <s v="Divorced"/>
    <x v="874"/>
    <n v="11189"/>
    <n v="6"/>
    <s v="Y"/>
    <s v="Yes"/>
    <n v="17"/>
    <n v="3"/>
    <n v="3"/>
    <n v="80"/>
    <n v="1"/>
    <n v="9"/>
    <n v="3"/>
    <n v="2"/>
    <n v="4"/>
    <n v="3"/>
    <n v="1"/>
    <n v="2"/>
    <s v="3-5 yrs"/>
  </r>
  <r>
    <n v="41"/>
    <x v="1"/>
    <s v="Travel_Rarely"/>
    <n v="642"/>
    <x v="1"/>
    <n v="1"/>
    <n v="3"/>
    <s v="Life Sciences"/>
    <n v="1"/>
    <n v="1999"/>
    <n v="4"/>
    <s v="Male"/>
    <n v="76"/>
    <n v="3"/>
    <n v="1"/>
    <s v="Research Scientist"/>
    <x v="0"/>
    <s v="Married"/>
    <x v="553"/>
    <n v="21412"/>
    <n v="3"/>
    <s v="Y"/>
    <s v="No"/>
    <n v="22"/>
    <n v="4"/>
    <n v="1"/>
    <n v="80"/>
    <n v="1"/>
    <n v="12"/>
    <n v="3"/>
    <n v="3"/>
    <n v="5"/>
    <n v="3"/>
    <n v="1"/>
    <n v="0"/>
    <s v="3-5 yrs"/>
  </r>
  <r>
    <n v="47"/>
    <x v="1"/>
    <s v="Non-Travel"/>
    <n v="1162"/>
    <x v="1"/>
    <n v="1"/>
    <n v="1"/>
    <s v="Medical"/>
    <n v="1"/>
    <n v="2000"/>
    <n v="3"/>
    <s v="Female"/>
    <n v="98"/>
    <n v="3"/>
    <n v="3"/>
    <s v="Research Director"/>
    <x v="1"/>
    <s v="Married"/>
    <x v="1309"/>
    <n v="17231"/>
    <n v="0"/>
    <s v="Y"/>
    <s v="No"/>
    <n v="18"/>
    <n v="3"/>
    <n v="1"/>
    <n v="80"/>
    <n v="2"/>
    <n v="14"/>
    <n v="3"/>
    <n v="1"/>
    <n v="13"/>
    <n v="8"/>
    <n v="5"/>
    <n v="12"/>
    <s v="5+ yrs"/>
  </r>
  <r>
    <n v="35"/>
    <x v="1"/>
    <s v="Travel_Rarely"/>
    <n v="1490"/>
    <x v="1"/>
    <n v="11"/>
    <n v="4"/>
    <s v="Medical"/>
    <n v="1"/>
    <n v="2003"/>
    <n v="4"/>
    <s v="Male"/>
    <n v="43"/>
    <n v="3"/>
    <n v="1"/>
    <s v="Laboratory Technician"/>
    <x v="2"/>
    <s v="Married"/>
    <x v="1310"/>
    <n v="20232"/>
    <n v="7"/>
    <s v="Y"/>
    <s v="Yes"/>
    <n v="11"/>
    <n v="3"/>
    <n v="3"/>
    <n v="80"/>
    <n v="1"/>
    <n v="5"/>
    <n v="3"/>
    <n v="3"/>
    <n v="2"/>
    <n v="2"/>
    <n v="2"/>
    <n v="2"/>
    <s v="0-2 yrs"/>
  </r>
  <r>
    <n v="22"/>
    <x v="1"/>
    <s v="Travel_Rarely"/>
    <n v="581"/>
    <x v="1"/>
    <n v="1"/>
    <n v="2"/>
    <s v="Life Sciences"/>
    <n v="1"/>
    <n v="2007"/>
    <n v="4"/>
    <s v="Male"/>
    <n v="63"/>
    <n v="3"/>
    <n v="1"/>
    <s v="Research Scientist"/>
    <x v="2"/>
    <s v="Single"/>
    <x v="1311"/>
    <n v="17624"/>
    <n v="0"/>
    <s v="Y"/>
    <s v="No"/>
    <n v="12"/>
    <n v="3"/>
    <n v="4"/>
    <n v="80"/>
    <n v="0"/>
    <n v="4"/>
    <n v="2"/>
    <n v="4"/>
    <n v="3"/>
    <n v="2"/>
    <n v="1"/>
    <n v="2"/>
    <s v="3-5 yrs"/>
  </r>
  <r>
    <n v="35"/>
    <x v="1"/>
    <s v="Travel_Rarely"/>
    <n v="1395"/>
    <x v="1"/>
    <n v="9"/>
    <n v="4"/>
    <s v="Medical"/>
    <n v="1"/>
    <n v="2008"/>
    <n v="2"/>
    <s v="Male"/>
    <n v="48"/>
    <n v="3"/>
    <n v="2"/>
    <s v="Research Scientist"/>
    <x v="2"/>
    <s v="Single"/>
    <x v="1312"/>
    <n v="18698"/>
    <n v="1"/>
    <s v="Y"/>
    <s v="No"/>
    <n v="19"/>
    <n v="3"/>
    <n v="2"/>
    <n v="80"/>
    <n v="0"/>
    <n v="10"/>
    <n v="5"/>
    <n v="3"/>
    <n v="10"/>
    <n v="7"/>
    <n v="0"/>
    <n v="8"/>
    <s v="5+ yrs"/>
  </r>
  <r>
    <n v="33"/>
    <x v="1"/>
    <s v="Travel_Rarely"/>
    <n v="501"/>
    <x v="1"/>
    <n v="15"/>
    <n v="2"/>
    <s v="Medical"/>
    <n v="1"/>
    <n v="2009"/>
    <n v="2"/>
    <s v="Female"/>
    <n v="95"/>
    <n v="3"/>
    <n v="2"/>
    <s v="Healthcare Representative"/>
    <x v="0"/>
    <s v="Married"/>
    <x v="1313"/>
    <n v="21653"/>
    <n v="0"/>
    <s v="Y"/>
    <s v="Yes"/>
    <n v="13"/>
    <n v="3"/>
    <n v="1"/>
    <n v="80"/>
    <n v="1"/>
    <n v="10"/>
    <n v="6"/>
    <n v="3"/>
    <n v="9"/>
    <n v="7"/>
    <n v="8"/>
    <n v="1"/>
    <s v="5+ yrs"/>
  </r>
  <r>
    <n v="32"/>
    <x v="1"/>
    <s v="Travel_Rarely"/>
    <n v="267"/>
    <x v="1"/>
    <n v="29"/>
    <n v="4"/>
    <s v="Life Sciences"/>
    <n v="1"/>
    <n v="2010"/>
    <n v="3"/>
    <s v="Female"/>
    <n v="49"/>
    <n v="2"/>
    <n v="1"/>
    <s v="Laboratory Technician"/>
    <x v="1"/>
    <s v="Single"/>
    <x v="1314"/>
    <n v="15919"/>
    <n v="1"/>
    <s v="Y"/>
    <s v="No"/>
    <n v="13"/>
    <n v="3"/>
    <n v="3"/>
    <n v="80"/>
    <n v="0"/>
    <n v="6"/>
    <n v="3"/>
    <n v="3"/>
    <n v="6"/>
    <n v="2"/>
    <n v="4"/>
    <n v="1"/>
    <s v="5+ yrs"/>
  </r>
  <r>
    <n v="40"/>
    <x v="1"/>
    <s v="Travel_Rarely"/>
    <n v="543"/>
    <x v="1"/>
    <n v="1"/>
    <n v="4"/>
    <s v="Life Sciences"/>
    <n v="1"/>
    <n v="2012"/>
    <n v="1"/>
    <s v="Male"/>
    <n v="83"/>
    <n v="3"/>
    <n v="1"/>
    <s v="Laboratory Technician"/>
    <x v="0"/>
    <s v="Married"/>
    <x v="58"/>
    <n v="4060"/>
    <n v="8"/>
    <s v="Y"/>
    <s v="No"/>
    <n v="19"/>
    <n v="3"/>
    <n v="3"/>
    <n v="80"/>
    <n v="2"/>
    <n v="8"/>
    <n v="3"/>
    <n v="2"/>
    <n v="1"/>
    <n v="0"/>
    <n v="0"/>
    <n v="0"/>
    <s v="0-2 yrs"/>
  </r>
  <r>
    <n v="32"/>
    <x v="1"/>
    <s v="Travel_Rarely"/>
    <n v="234"/>
    <x v="0"/>
    <n v="1"/>
    <n v="4"/>
    <s v="Medical"/>
    <n v="1"/>
    <n v="2013"/>
    <n v="2"/>
    <s v="Male"/>
    <n v="68"/>
    <n v="2"/>
    <n v="1"/>
    <s v="Sales Representative"/>
    <x v="1"/>
    <s v="Married"/>
    <x v="47"/>
    <n v="18024"/>
    <n v="0"/>
    <s v="Y"/>
    <s v="No"/>
    <n v="14"/>
    <n v="3"/>
    <n v="2"/>
    <n v="80"/>
    <n v="1"/>
    <n v="3"/>
    <n v="2"/>
    <n v="3"/>
    <n v="2"/>
    <n v="2"/>
    <n v="2"/>
    <n v="2"/>
    <s v="0-2 yrs"/>
  </r>
  <r>
    <n v="39"/>
    <x v="1"/>
    <s v="Travel_Rarely"/>
    <n v="116"/>
    <x v="1"/>
    <n v="24"/>
    <n v="1"/>
    <s v="Life Sciences"/>
    <n v="1"/>
    <n v="2014"/>
    <n v="1"/>
    <s v="Male"/>
    <n v="52"/>
    <n v="3"/>
    <n v="2"/>
    <s v="Research Scientist"/>
    <x v="0"/>
    <s v="Single"/>
    <x v="1315"/>
    <n v="5340"/>
    <n v="7"/>
    <s v="Y"/>
    <s v="No"/>
    <n v="13"/>
    <n v="3"/>
    <n v="1"/>
    <n v="80"/>
    <n v="0"/>
    <n v="18"/>
    <n v="2"/>
    <n v="3"/>
    <n v="7"/>
    <n v="7"/>
    <n v="1"/>
    <n v="7"/>
    <s v="5+ yrs"/>
  </r>
  <r>
    <n v="38"/>
    <x v="1"/>
    <s v="Travel_Rarely"/>
    <n v="201"/>
    <x v="1"/>
    <n v="10"/>
    <n v="3"/>
    <s v="Medical"/>
    <n v="1"/>
    <n v="2015"/>
    <n v="2"/>
    <s v="Female"/>
    <n v="99"/>
    <n v="1"/>
    <n v="3"/>
    <s v="Research Director"/>
    <x v="2"/>
    <s v="Married"/>
    <x v="1316"/>
    <n v="3376"/>
    <n v="3"/>
    <s v="Y"/>
    <s v="No"/>
    <n v="12"/>
    <n v="3"/>
    <n v="1"/>
    <n v="80"/>
    <n v="1"/>
    <n v="20"/>
    <n v="3"/>
    <n v="3"/>
    <n v="18"/>
    <n v="16"/>
    <n v="1"/>
    <n v="11"/>
    <s v="5+ yrs"/>
  </r>
  <r>
    <n v="32"/>
    <x v="1"/>
    <s v="Travel_Rarely"/>
    <n v="801"/>
    <x v="0"/>
    <n v="1"/>
    <n v="4"/>
    <s v="Marketing"/>
    <n v="1"/>
    <n v="2016"/>
    <n v="3"/>
    <s v="Female"/>
    <n v="48"/>
    <n v="3"/>
    <n v="3"/>
    <s v="Sales Executive"/>
    <x v="0"/>
    <s v="Married"/>
    <x v="1317"/>
    <n v="24032"/>
    <n v="1"/>
    <s v="Y"/>
    <s v="No"/>
    <n v="19"/>
    <n v="3"/>
    <n v="3"/>
    <n v="80"/>
    <n v="2"/>
    <n v="14"/>
    <n v="3"/>
    <n v="3"/>
    <n v="14"/>
    <n v="10"/>
    <n v="5"/>
    <n v="7"/>
    <s v="5+ yrs"/>
  </r>
  <r>
    <n v="37"/>
    <x v="1"/>
    <s v="Travel_Rarely"/>
    <n v="161"/>
    <x v="1"/>
    <n v="10"/>
    <n v="3"/>
    <s v="Life Sciences"/>
    <n v="1"/>
    <n v="2017"/>
    <n v="3"/>
    <s v="Female"/>
    <n v="42"/>
    <n v="4"/>
    <n v="3"/>
    <s v="Research Director"/>
    <x v="0"/>
    <s v="Married"/>
    <x v="1318"/>
    <n v="15471"/>
    <n v="1"/>
    <s v="Y"/>
    <s v="Yes"/>
    <n v="25"/>
    <n v="4"/>
    <n v="1"/>
    <n v="80"/>
    <n v="1"/>
    <n v="16"/>
    <n v="2"/>
    <n v="3"/>
    <n v="16"/>
    <n v="11"/>
    <n v="6"/>
    <n v="8"/>
    <s v="5+ yrs"/>
  </r>
  <r>
    <n v="25"/>
    <x v="1"/>
    <s v="Travel_Rarely"/>
    <n v="1382"/>
    <x v="0"/>
    <n v="8"/>
    <n v="2"/>
    <s v="Other"/>
    <n v="1"/>
    <n v="2018"/>
    <n v="1"/>
    <s v="Female"/>
    <n v="85"/>
    <n v="3"/>
    <n v="2"/>
    <s v="Sales Executive"/>
    <x v="2"/>
    <s v="Divorced"/>
    <x v="274"/>
    <n v="13684"/>
    <n v="0"/>
    <s v="Y"/>
    <s v="Yes"/>
    <n v="22"/>
    <n v="4"/>
    <n v="2"/>
    <n v="80"/>
    <n v="1"/>
    <n v="6"/>
    <n v="3"/>
    <n v="2"/>
    <n v="5"/>
    <n v="3"/>
    <n v="0"/>
    <n v="4"/>
    <s v="3-5 yrs"/>
  </r>
  <r>
    <n v="52"/>
    <x v="1"/>
    <s v="Non-Travel"/>
    <n v="585"/>
    <x v="0"/>
    <n v="29"/>
    <n v="4"/>
    <s v="Life Sciences"/>
    <n v="1"/>
    <n v="2019"/>
    <n v="1"/>
    <s v="Male"/>
    <n v="40"/>
    <n v="3"/>
    <n v="1"/>
    <s v="Sales Representative"/>
    <x v="0"/>
    <s v="Divorced"/>
    <x v="1319"/>
    <n v="19788"/>
    <n v="2"/>
    <s v="Y"/>
    <s v="No"/>
    <n v="15"/>
    <n v="3"/>
    <n v="2"/>
    <n v="80"/>
    <n v="2"/>
    <n v="16"/>
    <n v="3"/>
    <n v="2"/>
    <n v="9"/>
    <n v="8"/>
    <n v="0"/>
    <n v="0"/>
    <s v="5+ yrs"/>
  </r>
  <r>
    <n v="44"/>
    <x v="1"/>
    <s v="Travel_Rarely"/>
    <n v="1037"/>
    <x v="1"/>
    <n v="1"/>
    <n v="3"/>
    <s v="Medical"/>
    <n v="1"/>
    <n v="2020"/>
    <n v="2"/>
    <s v="Male"/>
    <n v="42"/>
    <n v="3"/>
    <n v="1"/>
    <s v="Research Scientist"/>
    <x v="0"/>
    <s v="Single"/>
    <x v="230"/>
    <n v="13422"/>
    <n v="6"/>
    <s v="Y"/>
    <s v="Yes"/>
    <n v="12"/>
    <n v="3"/>
    <n v="3"/>
    <n v="80"/>
    <n v="0"/>
    <n v="6"/>
    <n v="2"/>
    <n v="3"/>
    <n v="4"/>
    <n v="3"/>
    <n v="1"/>
    <n v="2"/>
    <s v="3-5 yrs"/>
  </r>
  <r>
    <n v="21"/>
    <x v="1"/>
    <s v="Travel_Rarely"/>
    <n v="501"/>
    <x v="0"/>
    <n v="5"/>
    <n v="1"/>
    <s v="Medical"/>
    <n v="1"/>
    <n v="2021"/>
    <n v="3"/>
    <s v="Male"/>
    <n v="58"/>
    <n v="3"/>
    <n v="1"/>
    <s v="Sales Representative"/>
    <x v="3"/>
    <s v="Single"/>
    <x v="631"/>
    <n v="25479"/>
    <n v="1"/>
    <s v="Y"/>
    <s v="Yes"/>
    <n v="11"/>
    <n v="3"/>
    <n v="4"/>
    <n v="80"/>
    <n v="0"/>
    <n v="2"/>
    <n v="6"/>
    <n v="3"/>
    <n v="2"/>
    <n v="2"/>
    <n v="1"/>
    <n v="2"/>
    <s v="0-2 yrs"/>
  </r>
  <r>
    <n v="39"/>
    <x v="1"/>
    <s v="Non-Travel"/>
    <n v="105"/>
    <x v="1"/>
    <n v="9"/>
    <n v="3"/>
    <s v="Life Sciences"/>
    <n v="1"/>
    <n v="2022"/>
    <n v="4"/>
    <s v="Male"/>
    <n v="87"/>
    <n v="3"/>
    <n v="5"/>
    <s v="Manager"/>
    <x v="0"/>
    <s v="Single"/>
    <x v="1320"/>
    <n v="15302"/>
    <n v="2"/>
    <s v="Y"/>
    <s v="No"/>
    <n v="13"/>
    <n v="3"/>
    <n v="3"/>
    <n v="80"/>
    <n v="0"/>
    <n v="21"/>
    <n v="3"/>
    <n v="2"/>
    <n v="6"/>
    <n v="0"/>
    <n v="1"/>
    <n v="3"/>
    <s v="5+ yrs"/>
  </r>
  <r>
    <n v="23"/>
    <x v="0"/>
    <s v="Travel_Frequently"/>
    <n v="638"/>
    <x v="0"/>
    <n v="9"/>
    <n v="3"/>
    <s v="Marketing"/>
    <n v="1"/>
    <n v="2023"/>
    <n v="4"/>
    <s v="Male"/>
    <n v="33"/>
    <n v="3"/>
    <n v="1"/>
    <s v="Sales Representative"/>
    <x v="3"/>
    <s v="Married"/>
    <x v="1321"/>
    <n v="26956"/>
    <n v="1"/>
    <s v="Y"/>
    <s v="No"/>
    <n v="19"/>
    <n v="3"/>
    <n v="1"/>
    <n v="80"/>
    <n v="1"/>
    <n v="1"/>
    <n v="3"/>
    <n v="2"/>
    <n v="1"/>
    <n v="0"/>
    <n v="1"/>
    <n v="0"/>
    <s v="0-2 yrs"/>
  </r>
  <r>
    <n v="36"/>
    <x v="1"/>
    <s v="Travel_Rarely"/>
    <n v="557"/>
    <x v="0"/>
    <n v="3"/>
    <n v="3"/>
    <s v="Medical"/>
    <n v="1"/>
    <n v="2024"/>
    <n v="1"/>
    <s v="Female"/>
    <n v="94"/>
    <n v="2"/>
    <n v="3"/>
    <s v="Sales Executive"/>
    <x v="0"/>
    <s v="Married"/>
    <x v="1322"/>
    <n v="12695"/>
    <n v="0"/>
    <s v="Y"/>
    <s v="No"/>
    <n v="19"/>
    <n v="3"/>
    <n v="3"/>
    <n v="80"/>
    <n v="2"/>
    <n v="10"/>
    <n v="2"/>
    <n v="3"/>
    <n v="9"/>
    <n v="7"/>
    <n v="3"/>
    <n v="4"/>
    <s v="5+ yrs"/>
  </r>
  <r>
    <n v="36"/>
    <x v="1"/>
    <s v="Travel_Frequently"/>
    <n v="688"/>
    <x v="1"/>
    <n v="4"/>
    <n v="2"/>
    <s v="Life Sciences"/>
    <n v="1"/>
    <n v="2025"/>
    <n v="4"/>
    <s v="Female"/>
    <n v="97"/>
    <n v="3"/>
    <n v="2"/>
    <s v="Manufacturing Director"/>
    <x v="1"/>
    <s v="Divorced"/>
    <x v="1323"/>
    <n v="9192"/>
    <n v="7"/>
    <s v="Y"/>
    <s v="No"/>
    <n v="13"/>
    <n v="3"/>
    <n v="2"/>
    <n v="80"/>
    <n v="3"/>
    <n v="18"/>
    <n v="3"/>
    <n v="3"/>
    <n v="4"/>
    <n v="2"/>
    <n v="0"/>
    <n v="2"/>
    <s v="3-5 yrs"/>
  </r>
  <r>
    <n v="56"/>
    <x v="1"/>
    <s v="Non-Travel"/>
    <n v="667"/>
    <x v="1"/>
    <n v="1"/>
    <n v="4"/>
    <s v="Life Sciences"/>
    <n v="1"/>
    <n v="2026"/>
    <n v="3"/>
    <s v="Male"/>
    <n v="57"/>
    <n v="3"/>
    <n v="2"/>
    <s v="Healthcare Representative"/>
    <x v="2"/>
    <s v="Divorced"/>
    <x v="1324"/>
    <n v="26236"/>
    <n v="1"/>
    <s v="Y"/>
    <s v="No"/>
    <n v="21"/>
    <n v="4"/>
    <n v="1"/>
    <n v="80"/>
    <n v="1"/>
    <n v="13"/>
    <n v="2"/>
    <n v="2"/>
    <n v="13"/>
    <n v="12"/>
    <n v="1"/>
    <n v="9"/>
    <s v="5+ yrs"/>
  </r>
  <r>
    <n v="29"/>
    <x v="0"/>
    <s v="Travel_Rarely"/>
    <n v="1092"/>
    <x v="1"/>
    <n v="1"/>
    <n v="4"/>
    <s v="Medical"/>
    <n v="1"/>
    <n v="2027"/>
    <n v="1"/>
    <s v="Male"/>
    <n v="36"/>
    <n v="3"/>
    <n v="1"/>
    <s v="Research Scientist"/>
    <x v="0"/>
    <s v="Married"/>
    <x v="1325"/>
    <n v="26124"/>
    <n v="9"/>
    <s v="Y"/>
    <s v="Yes"/>
    <n v="14"/>
    <n v="3"/>
    <n v="2"/>
    <n v="80"/>
    <n v="3"/>
    <n v="4"/>
    <n v="3"/>
    <n v="4"/>
    <n v="2"/>
    <n v="2"/>
    <n v="2"/>
    <n v="2"/>
    <s v="0-2 yrs"/>
  </r>
  <r>
    <n v="42"/>
    <x v="1"/>
    <s v="Travel_Rarely"/>
    <n v="300"/>
    <x v="1"/>
    <n v="2"/>
    <n v="3"/>
    <s v="Life Sciences"/>
    <n v="1"/>
    <n v="2031"/>
    <n v="1"/>
    <s v="Male"/>
    <n v="56"/>
    <n v="3"/>
    <n v="5"/>
    <s v="Manager"/>
    <x v="2"/>
    <s v="Married"/>
    <x v="1326"/>
    <n v="17312"/>
    <n v="5"/>
    <s v="Y"/>
    <s v="No"/>
    <n v="11"/>
    <n v="3"/>
    <n v="1"/>
    <n v="80"/>
    <n v="0"/>
    <n v="24"/>
    <n v="2"/>
    <n v="2"/>
    <n v="22"/>
    <n v="6"/>
    <n v="4"/>
    <n v="14"/>
    <s v="5+ yrs"/>
  </r>
  <r>
    <n v="56"/>
    <x v="0"/>
    <s v="Travel_Rarely"/>
    <n v="310"/>
    <x v="1"/>
    <n v="7"/>
    <n v="2"/>
    <s v="Technical Degree"/>
    <n v="1"/>
    <n v="2032"/>
    <n v="4"/>
    <s v="Male"/>
    <n v="72"/>
    <n v="3"/>
    <n v="1"/>
    <s v="Laboratory Technician"/>
    <x v="2"/>
    <s v="Married"/>
    <x v="1327"/>
    <n v="3666"/>
    <n v="8"/>
    <s v="Y"/>
    <s v="No"/>
    <n v="11"/>
    <n v="3"/>
    <n v="4"/>
    <n v="80"/>
    <n v="1"/>
    <n v="14"/>
    <n v="4"/>
    <n v="1"/>
    <n v="10"/>
    <n v="9"/>
    <n v="9"/>
    <n v="8"/>
    <s v="5+ yrs"/>
  </r>
  <r>
    <n v="41"/>
    <x v="1"/>
    <s v="Travel_Rarely"/>
    <n v="582"/>
    <x v="1"/>
    <n v="28"/>
    <n v="4"/>
    <s v="Life Sciences"/>
    <n v="1"/>
    <n v="2034"/>
    <n v="1"/>
    <s v="Female"/>
    <n v="60"/>
    <n v="2"/>
    <n v="4"/>
    <s v="Manufacturing Director"/>
    <x v="1"/>
    <s v="Married"/>
    <x v="1328"/>
    <n v="5640"/>
    <n v="0"/>
    <s v="Y"/>
    <s v="No"/>
    <n v="23"/>
    <n v="4"/>
    <n v="3"/>
    <n v="80"/>
    <n v="1"/>
    <n v="21"/>
    <n v="3"/>
    <n v="3"/>
    <n v="20"/>
    <n v="7"/>
    <n v="0"/>
    <n v="10"/>
    <s v="5+ yrs"/>
  </r>
  <r>
    <n v="34"/>
    <x v="1"/>
    <s v="Travel_Rarely"/>
    <n v="704"/>
    <x v="0"/>
    <n v="28"/>
    <n v="3"/>
    <s v="Marketing"/>
    <n v="1"/>
    <n v="2035"/>
    <n v="4"/>
    <s v="Female"/>
    <n v="95"/>
    <n v="2"/>
    <n v="2"/>
    <s v="Sales Executive"/>
    <x v="2"/>
    <s v="Married"/>
    <x v="1329"/>
    <n v="8978"/>
    <n v="1"/>
    <s v="Y"/>
    <s v="No"/>
    <n v="21"/>
    <n v="4"/>
    <n v="4"/>
    <n v="80"/>
    <n v="2"/>
    <n v="8"/>
    <n v="2"/>
    <n v="3"/>
    <n v="8"/>
    <n v="7"/>
    <n v="1"/>
    <n v="7"/>
    <s v="5+ yrs"/>
  </r>
  <r>
    <n v="36"/>
    <x v="1"/>
    <s v="Non-Travel"/>
    <n v="301"/>
    <x v="0"/>
    <n v="15"/>
    <n v="4"/>
    <s v="Marketing"/>
    <n v="1"/>
    <n v="2036"/>
    <n v="4"/>
    <s v="Male"/>
    <n v="88"/>
    <n v="1"/>
    <n v="2"/>
    <s v="Sales Executive"/>
    <x v="0"/>
    <s v="Divorced"/>
    <x v="1330"/>
    <n v="10436"/>
    <n v="1"/>
    <s v="Y"/>
    <s v="No"/>
    <n v="24"/>
    <n v="4"/>
    <n v="1"/>
    <n v="80"/>
    <n v="1"/>
    <n v="15"/>
    <n v="4"/>
    <n v="2"/>
    <n v="15"/>
    <n v="12"/>
    <n v="11"/>
    <n v="11"/>
    <s v="5+ yrs"/>
  </r>
  <r>
    <n v="41"/>
    <x v="1"/>
    <s v="Travel_Rarely"/>
    <n v="930"/>
    <x v="0"/>
    <n v="3"/>
    <n v="3"/>
    <s v="Life Sciences"/>
    <n v="1"/>
    <n v="2037"/>
    <n v="3"/>
    <s v="Male"/>
    <n v="57"/>
    <n v="2"/>
    <n v="2"/>
    <s v="Sales Executive"/>
    <x v="1"/>
    <s v="Divorced"/>
    <x v="1331"/>
    <n v="12227"/>
    <n v="2"/>
    <s v="Y"/>
    <s v="No"/>
    <n v="11"/>
    <n v="3"/>
    <n v="3"/>
    <n v="80"/>
    <n v="1"/>
    <n v="14"/>
    <n v="5"/>
    <n v="3"/>
    <n v="5"/>
    <n v="4"/>
    <n v="0"/>
    <n v="4"/>
    <s v="3-5 yrs"/>
  </r>
  <r>
    <n v="32"/>
    <x v="1"/>
    <s v="Travel_Rarely"/>
    <n v="529"/>
    <x v="1"/>
    <n v="2"/>
    <n v="3"/>
    <s v="Technical Degree"/>
    <n v="1"/>
    <n v="2038"/>
    <n v="4"/>
    <s v="Male"/>
    <n v="78"/>
    <n v="3"/>
    <n v="1"/>
    <s v="Research Scientist"/>
    <x v="3"/>
    <s v="Single"/>
    <x v="1234"/>
    <n v="11288"/>
    <n v="1"/>
    <s v="Y"/>
    <s v="No"/>
    <n v="14"/>
    <n v="3"/>
    <n v="4"/>
    <n v="80"/>
    <n v="0"/>
    <n v="4"/>
    <n v="4"/>
    <n v="3"/>
    <n v="4"/>
    <n v="2"/>
    <n v="1"/>
    <n v="2"/>
    <s v="3-5 yrs"/>
  </r>
  <r>
    <n v="35"/>
    <x v="1"/>
    <s v="Travel_Rarely"/>
    <n v="1146"/>
    <x v="2"/>
    <n v="26"/>
    <n v="4"/>
    <s v="Life Sciences"/>
    <n v="1"/>
    <n v="2040"/>
    <n v="3"/>
    <s v="Female"/>
    <n v="31"/>
    <n v="3"/>
    <n v="3"/>
    <s v="Human Resources"/>
    <x v="0"/>
    <s v="Single"/>
    <x v="1332"/>
    <n v="16642"/>
    <n v="1"/>
    <s v="Y"/>
    <s v="Yes"/>
    <n v="16"/>
    <n v="3"/>
    <n v="3"/>
    <n v="80"/>
    <n v="0"/>
    <n v="9"/>
    <n v="2"/>
    <n v="3"/>
    <n v="9"/>
    <n v="0"/>
    <n v="1"/>
    <n v="7"/>
    <s v="5+ yrs"/>
  </r>
  <r>
    <n v="38"/>
    <x v="1"/>
    <s v="Travel_Rarely"/>
    <n v="345"/>
    <x v="0"/>
    <n v="10"/>
    <n v="2"/>
    <s v="Life Sciences"/>
    <n v="1"/>
    <n v="2041"/>
    <n v="1"/>
    <s v="Female"/>
    <n v="100"/>
    <n v="3"/>
    <n v="2"/>
    <s v="Sales Executive"/>
    <x v="0"/>
    <s v="Married"/>
    <x v="798"/>
    <n v="5982"/>
    <n v="1"/>
    <s v="Y"/>
    <s v="No"/>
    <n v="11"/>
    <n v="3"/>
    <n v="3"/>
    <n v="80"/>
    <n v="1"/>
    <n v="10"/>
    <n v="1"/>
    <n v="3"/>
    <n v="10"/>
    <n v="7"/>
    <n v="1"/>
    <n v="9"/>
    <s v="5+ yrs"/>
  </r>
  <r>
    <n v="50"/>
    <x v="0"/>
    <s v="Travel_Frequently"/>
    <n v="878"/>
    <x v="0"/>
    <n v="1"/>
    <n v="4"/>
    <s v="Life Sciences"/>
    <n v="1"/>
    <n v="2044"/>
    <n v="2"/>
    <s v="Male"/>
    <n v="94"/>
    <n v="3"/>
    <n v="2"/>
    <s v="Sales Executive"/>
    <x v="2"/>
    <s v="Divorced"/>
    <x v="1333"/>
    <n v="14255"/>
    <n v="7"/>
    <s v="Y"/>
    <s v="No"/>
    <n v="12"/>
    <n v="3"/>
    <n v="4"/>
    <n v="80"/>
    <n v="2"/>
    <n v="12"/>
    <n v="3"/>
    <n v="3"/>
    <n v="6"/>
    <n v="3"/>
    <n v="0"/>
    <n v="1"/>
    <s v="5+ yrs"/>
  </r>
  <r>
    <n v="36"/>
    <x v="1"/>
    <s v="Travel_Rarely"/>
    <n v="1120"/>
    <x v="0"/>
    <n v="11"/>
    <n v="4"/>
    <s v="Marketing"/>
    <n v="1"/>
    <n v="2045"/>
    <n v="2"/>
    <s v="Female"/>
    <n v="100"/>
    <n v="2"/>
    <n v="2"/>
    <s v="Sales Executive"/>
    <x v="0"/>
    <s v="Married"/>
    <x v="1334"/>
    <n v="14369"/>
    <n v="4"/>
    <s v="Y"/>
    <s v="No"/>
    <n v="13"/>
    <n v="3"/>
    <n v="1"/>
    <n v="80"/>
    <n v="1"/>
    <n v="8"/>
    <n v="2"/>
    <n v="2"/>
    <n v="6"/>
    <n v="3"/>
    <n v="0"/>
    <n v="0"/>
    <s v="5+ yrs"/>
  </r>
  <r>
    <n v="45"/>
    <x v="1"/>
    <s v="Travel_Rarely"/>
    <n v="374"/>
    <x v="0"/>
    <n v="20"/>
    <n v="3"/>
    <s v="Life Sciences"/>
    <n v="1"/>
    <n v="2046"/>
    <n v="4"/>
    <s v="Female"/>
    <n v="50"/>
    <n v="3"/>
    <n v="2"/>
    <s v="Sales Executive"/>
    <x v="2"/>
    <s v="Single"/>
    <x v="1335"/>
    <n v="23333"/>
    <n v="8"/>
    <s v="Y"/>
    <s v="No"/>
    <n v="15"/>
    <n v="3"/>
    <n v="3"/>
    <n v="80"/>
    <n v="0"/>
    <n v="8"/>
    <n v="3"/>
    <n v="3"/>
    <n v="5"/>
    <n v="3"/>
    <n v="0"/>
    <n v="1"/>
    <s v="3-5 yrs"/>
  </r>
  <r>
    <n v="40"/>
    <x v="1"/>
    <s v="Travel_Rarely"/>
    <n v="1322"/>
    <x v="1"/>
    <n v="2"/>
    <n v="4"/>
    <s v="Life Sciences"/>
    <n v="1"/>
    <n v="2048"/>
    <n v="3"/>
    <s v="Male"/>
    <n v="52"/>
    <n v="2"/>
    <n v="1"/>
    <s v="Research Scientist"/>
    <x v="2"/>
    <s v="Single"/>
    <x v="1336"/>
    <n v="2725"/>
    <n v="2"/>
    <s v="Y"/>
    <s v="No"/>
    <n v="14"/>
    <n v="3"/>
    <n v="4"/>
    <n v="80"/>
    <n v="0"/>
    <n v="8"/>
    <n v="2"/>
    <n v="3"/>
    <n v="2"/>
    <n v="2"/>
    <n v="2"/>
    <n v="2"/>
    <s v="0-2 yrs"/>
  </r>
  <r>
    <n v="35"/>
    <x v="1"/>
    <s v="Travel_Frequently"/>
    <n v="1199"/>
    <x v="1"/>
    <n v="18"/>
    <n v="4"/>
    <s v="Life Sciences"/>
    <n v="1"/>
    <n v="2049"/>
    <n v="3"/>
    <s v="Male"/>
    <n v="80"/>
    <n v="3"/>
    <n v="2"/>
    <s v="Healthcare Representative"/>
    <x v="2"/>
    <s v="Married"/>
    <x v="1337"/>
    <n v="24594"/>
    <n v="1"/>
    <s v="Y"/>
    <s v="Yes"/>
    <n v="14"/>
    <n v="3"/>
    <n v="4"/>
    <n v="80"/>
    <n v="2"/>
    <n v="10"/>
    <n v="2"/>
    <n v="4"/>
    <n v="10"/>
    <n v="2"/>
    <n v="0"/>
    <n v="2"/>
    <s v="5+ yrs"/>
  </r>
  <r>
    <n v="40"/>
    <x v="1"/>
    <s v="Travel_Rarely"/>
    <n v="1194"/>
    <x v="1"/>
    <n v="2"/>
    <n v="4"/>
    <s v="Medical"/>
    <n v="1"/>
    <n v="2051"/>
    <n v="3"/>
    <s v="Female"/>
    <n v="98"/>
    <n v="3"/>
    <n v="1"/>
    <s v="Research Scientist"/>
    <x v="2"/>
    <s v="Married"/>
    <x v="1338"/>
    <n v="12549"/>
    <n v="2"/>
    <s v="Y"/>
    <s v="No"/>
    <n v="14"/>
    <n v="3"/>
    <n v="2"/>
    <n v="80"/>
    <n v="3"/>
    <n v="20"/>
    <n v="2"/>
    <n v="3"/>
    <n v="5"/>
    <n v="3"/>
    <n v="0"/>
    <n v="2"/>
    <s v="3-5 yrs"/>
  </r>
  <r>
    <n v="35"/>
    <x v="1"/>
    <s v="Travel_Rarely"/>
    <n v="287"/>
    <x v="1"/>
    <n v="1"/>
    <n v="4"/>
    <s v="Life Sciences"/>
    <n v="1"/>
    <n v="2052"/>
    <n v="3"/>
    <s v="Female"/>
    <n v="62"/>
    <n v="1"/>
    <n v="1"/>
    <s v="Research Scientist"/>
    <x v="0"/>
    <s v="Married"/>
    <x v="1339"/>
    <n v="8952"/>
    <n v="1"/>
    <s v="Y"/>
    <s v="No"/>
    <n v="12"/>
    <n v="3"/>
    <n v="4"/>
    <n v="80"/>
    <n v="1"/>
    <n v="4"/>
    <n v="5"/>
    <n v="3"/>
    <n v="4"/>
    <n v="3"/>
    <n v="1"/>
    <n v="1"/>
    <s v="3-5 yrs"/>
  </r>
  <r>
    <n v="29"/>
    <x v="1"/>
    <s v="Travel_Rarely"/>
    <n v="1378"/>
    <x v="1"/>
    <n v="13"/>
    <n v="2"/>
    <s v="Other"/>
    <n v="1"/>
    <n v="2053"/>
    <n v="4"/>
    <s v="Male"/>
    <n v="46"/>
    <n v="2"/>
    <n v="2"/>
    <s v="Laboratory Technician"/>
    <x v="1"/>
    <s v="Married"/>
    <x v="717"/>
    <n v="23679"/>
    <n v="4"/>
    <s v="Y"/>
    <s v="Yes"/>
    <n v="13"/>
    <n v="3"/>
    <n v="1"/>
    <n v="80"/>
    <n v="1"/>
    <n v="10"/>
    <n v="2"/>
    <n v="3"/>
    <n v="4"/>
    <n v="3"/>
    <n v="0"/>
    <n v="3"/>
    <s v="3-5 yrs"/>
  </r>
  <r>
    <n v="29"/>
    <x v="1"/>
    <s v="Travel_Rarely"/>
    <n v="468"/>
    <x v="1"/>
    <n v="28"/>
    <n v="4"/>
    <s v="Medical"/>
    <n v="1"/>
    <n v="2054"/>
    <n v="4"/>
    <s v="Female"/>
    <n v="73"/>
    <n v="2"/>
    <n v="1"/>
    <s v="Research Scientist"/>
    <x v="3"/>
    <s v="Single"/>
    <x v="1340"/>
    <n v="8489"/>
    <n v="1"/>
    <s v="Y"/>
    <s v="No"/>
    <n v="14"/>
    <n v="3"/>
    <n v="2"/>
    <n v="80"/>
    <n v="0"/>
    <n v="5"/>
    <n v="3"/>
    <n v="1"/>
    <n v="5"/>
    <n v="4"/>
    <n v="0"/>
    <n v="4"/>
    <s v="3-5 yrs"/>
  </r>
  <r>
    <n v="50"/>
    <x v="0"/>
    <s v="Travel_Rarely"/>
    <n v="410"/>
    <x v="0"/>
    <n v="28"/>
    <n v="3"/>
    <s v="Marketing"/>
    <n v="1"/>
    <n v="2055"/>
    <n v="4"/>
    <s v="Male"/>
    <n v="39"/>
    <n v="2"/>
    <n v="3"/>
    <s v="Sales Executive"/>
    <x v="3"/>
    <s v="Divorced"/>
    <x v="1341"/>
    <n v="16586"/>
    <n v="4"/>
    <s v="Y"/>
    <s v="Yes"/>
    <n v="13"/>
    <n v="3"/>
    <n v="2"/>
    <n v="80"/>
    <n v="1"/>
    <n v="20"/>
    <n v="3"/>
    <n v="3"/>
    <n v="3"/>
    <n v="2"/>
    <n v="2"/>
    <n v="0"/>
    <s v="3-5 yrs"/>
  </r>
  <r>
    <n v="39"/>
    <x v="1"/>
    <s v="Travel_Rarely"/>
    <n v="722"/>
    <x v="0"/>
    <n v="24"/>
    <n v="1"/>
    <s v="Marketing"/>
    <n v="1"/>
    <n v="2056"/>
    <n v="2"/>
    <s v="Female"/>
    <n v="60"/>
    <n v="2"/>
    <n v="4"/>
    <s v="Sales Executive"/>
    <x v="0"/>
    <s v="Married"/>
    <x v="1342"/>
    <n v="8828"/>
    <n v="0"/>
    <s v="Y"/>
    <s v="No"/>
    <n v="11"/>
    <n v="3"/>
    <n v="1"/>
    <n v="80"/>
    <n v="1"/>
    <n v="21"/>
    <n v="2"/>
    <n v="2"/>
    <n v="20"/>
    <n v="9"/>
    <n v="9"/>
    <n v="6"/>
    <s v="5+ yrs"/>
  </r>
  <r>
    <n v="31"/>
    <x v="1"/>
    <s v="Non-Travel"/>
    <n v="325"/>
    <x v="1"/>
    <n v="5"/>
    <n v="3"/>
    <s v="Medical"/>
    <n v="1"/>
    <n v="2057"/>
    <n v="2"/>
    <s v="Male"/>
    <n v="74"/>
    <n v="3"/>
    <n v="2"/>
    <s v="Manufacturing Director"/>
    <x v="3"/>
    <s v="Single"/>
    <x v="1343"/>
    <n v="3787"/>
    <n v="0"/>
    <s v="Y"/>
    <s v="No"/>
    <n v="19"/>
    <n v="3"/>
    <n v="2"/>
    <n v="80"/>
    <n v="0"/>
    <n v="10"/>
    <n v="2"/>
    <n v="3"/>
    <n v="9"/>
    <n v="4"/>
    <n v="1"/>
    <n v="7"/>
    <s v="5+ yrs"/>
  </r>
  <r>
    <n v="26"/>
    <x v="1"/>
    <s v="Travel_Rarely"/>
    <n v="1167"/>
    <x v="0"/>
    <n v="5"/>
    <n v="3"/>
    <s v="Other"/>
    <n v="1"/>
    <n v="2060"/>
    <n v="4"/>
    <s v="Female"/>
    <n v="30"/>
    <n v="2"/>
    <n v="1"/>
    <s v="Sales Representative"/>
    <x v="2"/>
    <s v="Single"/>
    <x v="1344"/>
    <n v="21378"/>
    <n v="0"/>
    <s v="Y"/>
    <s v="No"/>
    <n v="18"/>
    <n v="3"/>
    <n v="4"/>
    <n v="80"/>
    <n v="0"/>
    <n v="5"/>
    <n v="2"/>
    <n v="3"/>
    <n v="4"/>
    <n v="2"/>
    <n v="0"/>
    <n v="0"/>
    <s v="3-5 yrs"/>
  </r>
  <r>
    <n v="36"/>
    <x v="1"/>
    <s v="Travel_Frequently"/>
    <n v="884"/>
    <x v="1"/>
    <n v="23"/>
    <n v="2"/>
    <s v="Medical"/>
    <n v="1"/>
    <n v="2061"/>
    <n v="3"/>
    <s v="Male"/>
    <n v="41"/>
    <n v="4"/>
    <n v="2"/>
    <s v="Laboratory Technician"/>
    <x v="0"/>
    <s v="Married"/>
    <x v="1345"/>
    <n v="12290"/>
    <n v="4"/>
    <s v="Y"/>
    <s v="No"/>
    <n v="17"/>
    <n v="3"/>
    <n v="3"/>
    <n v="80"/>
    <n v="1"/>
    <n v="17"/>
    <n v="3"/>
    <n v="3"/>
    <n v="5"/>
    <n v="2"/>
    <n v="0"/>
    <n v="3"/>
    <s v="3-5 yrs"/>
  </r>
  <r>
    <n v="39"/>
    <x v="1"/>
    <s v="Travel_Rarely"/>
    <n v="613"/>
    <x v="1"/>
    <n v="6"/>
    <n v="1"/>
    <s v="Medical"/>
    <n v="1"/>
    <n v="2062"/>
    <n v="4"/>
    <s v="Male"/>
    <n v="42"/>
    <n v="2"/>
    <n v="3"/>
    <s v="Healthcare Representative"/>
    <x v="3"/>
    <s v="Married"/>
    <x v="1346"/>
    <n v="21457"/>
    <n v="4"/>
    <s v="Y"/>
    <s v="No"/>
    <n v="15"/>
    <n v="3"/>
    <n v="1"/>
    <n v="80"/>
    <n v="1"/>
    <n v="9"/>
    <n v="5"/>
    <n v="3"/>
    <n v="7"/>
    <n v="7"/>
    <n v="1"/>
    <n v="7"/>
    <s v="5+ yrs"/>
  </r>
  <r>
    <n v="27"/>
    <x v="1"/>
    <s v="Travel_Rarely"/>
    <n v="155"/>
    <x v="1"/>
    <n v="4"/>
    <n v="3"/>
    <s v="Life Sciences"/>
    <n v="1"/>
    <n v="2064"/>
    <n v="2"/>
    <s v="Male"/>
    <n v="87"/>
    <n v="4"/>
    <n v="2"/>
    <s v="Manufacturing Director"/>
    <x v="1"/>
    <s v="Married"/>
    <x v="528"/>
    <n v="5174"/>
    <n v="1"/>
    <s v="Y"/>
    <s v="Yes"/>
    <n v="20"/>
    <n v="4"/>
    <n v="2"/>
    <n v="80"/>
    <n v="1"/>
    <n v="6"/>
    <n v="0"/>
    <n v="3"/>
    <n v="6"/>
    <n v="2"/>
    <n v="0"/>
    <n v="3"/>
    <s v="5+ yrs"/>
  </r>
  <r>
    <n v="49"/>
    <x v="1"/>
    <s v="Travel_Frequently"/>
    <n v="1023"/>
    <x v="0"/>
    <n v="2"/>
    <n v="3"/>
    <s v="Medical"/>
    <n v="1"/>
    <n v="2065"/>
    <n v="4"/>
    <s v="Male"/>
    <n v="63"/>
    <n v="2"/>
    <n v="2"/>
    <s v="Sales Executive"/>
    <x v="1"/>
    <s v="Married"/>
    <x v="1347"/>
    <n v="13243"/>
    <n v="2"/>
    <s v="Y"/>
    <s v="No"/>
    <n v="14"/>
    <n v="3"/>
    <n v="4"/>
    <n v="80"/>
    <n v="0"/>
    <n v="17"/>
    <n v="3"/>
    <n v="2"/>
    <n v="9"/>
    <n v="6"/>
    <n v="0"/>
    <n v="8"/>
    <s v="5+ yrs"/>
  </r>
  <r>
    <n v="34"/>
    <x v="1"/>
    <s v="Travel_Rarely"/>
    <n v="628"/>
    <x v="1"/>
    <n v="8"/>
    <n v="3"/>
    <s v="Medical"/>
    <n v="1"/>
    <n v="2068"/>
    <n v="2"/>
    <s v="Male"/>
    <n v="82"/>
    <n v="4"/>
    <n v="2"/>
    <s v="Laboratory Technician"/>
    <x v="2"/>
    <s v="Married"/>
    <x v="1348"/>
    <n v="10228"/>
    <n v="2"/>
    <s v="Y"/>
    <s v="No"/>
    <n v="12"/>
    <n v="3"/>
    <n v="1"/>
    <n v="80"/>
    <n v="0"/>
    <n v="6"/>
    <n v="3"/>
    <n v="4"/>
    <n v="4"/>
    <n v="3"/>
    <n v="1"/>
    <n v="2"/>
    <s v="3-5 y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EFACD-244D-4233-B1D4-D712A9CE4F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0" firstDataRow="1" firstDataCol="1"/>
  <pivotFields count="36">
    <pivotField showAll="0"/>
    <pivotField axis="axisRow" dataField="1" showAll="0">
      <items count="3">
        <item x="1"/>
        <item x="0"/>
        <item t="default"/>
      </items>
    </pivotField>
    <pivotField showAll="0"/>
    <pivotField showAll="0"/>
    <pivotField axis="axisRow" showAll="0" sortType="ascending">
      <items count="4">
        <item x="2"/>
        <item x="1"/>
        <item x="0"/>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50">
        <item h="1" x="495"/>
        <item h="1" x="692"/>
        <item h="1" x="723"/>
        <item h="1" x="1240"/>
        <item h="1" x="1263"/>
        <item h="1" x="173"/>
        <item h="1" x="858"/>
        <item h="1" x="1295"/>
        <item h="1" x="294"/>
        <item h="1" x="857"/>
        <item h="1" x="23"/>
        <item h="1" x="955"/>
        <item h="1" x="986"/>
        <item h="1" x="497"/>
        <item h="1" x="953"/>
        <item h="1" x="1118"/>
        <item h="1" x="734"/>
        <item h="1" x="289"/>
        <item h="1" x="146"/>
        <item h="1" x="1215"/>
        <item h="1" x="1134"/>
        <item h="1" x="1000"/>
        <item h="1" x="1069"/>
        <item x="561"/>
        <item h="1" x="916"/>
        <item h="1" x="124"/>
        <item h="1" x="405"/>
        <item h="1" x="589"/>
        <item h="1" x="1321"/>
        <item h="1" x="840"/>
        <item h="1" x="443"/>
        <item h="1" x="782"/>
        <item h="1" x="40"/>
        <item h="1" x="1338"/>
        <item h="1" x="728"/>
        <item h="1" x="641"/>
        <item h="1" x="839"/>
        <item h="1" x="1093"/>
        <item h="1" x="37"/>
        <item h="1" x="1012"/>
        <item h="1" x="608"/>
        <item h="1" x="158"/>
        <item h="1" x="14"/>
        <item h="1" x="921"/>
        <item h="1" x="462"/>
        <item h="1" x="96"/>
        <item h="1" x="633"/>
        <item h="1" x="494"/>
        <item h="1" x="213"/>
        <item h="1" x="1042"/>
        <item h="1" x="1244"/>
        <item h="1" x="995"/>
        <item h="1" x="962"/>
        <item h="1" x="266"/>
        <item h="1" x="97"/>
        <item h="1" x="1035"/>
        <item h="1" x="84"/>
        <item h="1" x="880"/>
        <item h="1" x="483"/>
        <item h="1" x="33"/>
        <item h="1" x="168"/>
        <item h="1" x="189"/>
        <item h="1" x="2"/>
        <item h="1" x="429"/>
        <item h="1" x="461"/>
        <item h="1" x="408"/>
        <item h="1" x="956"/>
        <item h="1" x="1223"/>
        <item h="1" x="815"/>
        <item h="1" x="971"/>
        <item h="1" x="278"/>
        <item h="1" x="328"/>
        <item h="1" x="657"/>
        <item h="1" x="459"/>
        <item h="1" x="685"/>
        <item h="1" x="1270"/>
        <item h="1" x="1059"/>
        <item h="1" x="574"/>
        <item h="1" x="1277"/>
        <item h="1" x="1154"/>
        <item h="1" x="1202"/>
        <item h="1" x="203"/>
        <item h="1" x="868"/>
        <item h="1" x="664"/>
        <item h="1" x="1084"/>
        <item h="1" x="810"/>
        <item h="1" x="348"/>
        <item h="1" x="256"/>
        <item h="1" x="221"/>
        <item h="1" x="1155"/>
        <item h="1" x="467"/>
        <item h="1" x="65"/>
        <item h="1" x="360"/>
        <item h="1" x="32"/>
        <item h="1" x="750"/>
        <item h="1" x="822"/>
        <item h="1" x="352"/>
        <item h="1" x="521"/>
        <item h="1" x="388"/>
        <item h="1" x="722"/>
        <item h="1" x="1265"/>
        <item h="1" x="156"/>
        <item h="1" x="236"/>
        <item h="1" x="837"/>
        <item h="1" x="145"/>
        <item h="1" x="372"/>
        <item h="1" x="384"/>
        <item h="1" x="647"/>
        <item h="1" x="228"/>
        <item h="1" x="47"/>
        <item h="1" x="678"/>
        <item h="1" x="1011"/>
        <item h="1" x="577"/>
        <item h="1" x="1125"/>
        <item h="1" x="627"/>
        <item h="1" x="187"/>
        <item h="1" x="374"/>
        <item h="1" x="175"/>
        <item h="1" x="1174"/>
        <item h="1" x="813"/>
        <item h="1" x="34"/>
        <item h="1" x="1024"/>
        <item h="1" x="532"/>
        <item h="1" x="897"/>
        <item h="1" x="1136"/>
        <item h="1" x="149"/>
        <item h="1" x="1252"/>
        <item h="1" x="1016"/>
        <item h="1" x="177"/>
        <item h="1" x="754"/>
        <item h="1" x="609"/>
        <item h="1" x="640"/>
        <item h="1" x="565"/>
        <item h="1" x="676"/>
        <item h="1" x="83"/>
        <item h="1" x="157"/>
        <item h="1" x="167"/>
        <item h="1" x="287"/>
        <item h="1" x="202"/>
        <item h="1" x="645"/>
        <item h="1" x="651"/>
        <item h="1" x="1216"/>
        <item h="1" x="1327"/>
        <item h="1" x="246"/>
        <item h="1" x="41"/>
        <item h="1" x="531"/>
        <item h="1" x="980"/>
        <item h="1" x="150"/>
        <item h="1" x="404"/>
        <item h="1" x="616"/>
        <item h="1" x="898"/>
        <item h="1" x="588"/>
        <item h="1" x="1039"/>
        <item h="1" x="122"/>
        <item h="1" x="342"/>
        <item h="1" x="872"/>
        <item h="1" x="281"/>
        <item h="1" x="799"/>
        <item h="1" x="638"/>
        <item h="1" x="1220"/>
        <item h="1" x="631"/>
        <item h="1" x="911"/>
        <item h="1" x="225"/>
        <item h="1" x="940"/>
        <item h="1" x="1181"/>
        <item h="1" x="454"/>
        <item h="1" x="639"/>
        <item h="1" x="58"/>
        <item h="1" x="1054"/>
        <item h="1" x="652"/>
        <item h="1" x="697"/>
        <item h="1" x="10"/>
        <item h="1" x="1027"/>
        <item h="1" x="1272"/>
        <item h="1" x="230"/>
        <item h="1" x="1170"/>
        <item h="1" x="1198"/>
        <item h="1" x="1234"/>
        <item h="1" x="1106"/>
        <item h="1" x="533"/>
        <item h="1" x="163"/>
        <item h="1" x="308"/>
        <item h="1" x="736"/>
        <item h="1" x="1165"/>
        <item h="1" x="1241"/>
        <item h="1" x="370"/>
        <item h="1" x="310"/>
        <item h="1" x="667"/>
        <item h="1" x="30"/>
        <item h="1" x="172"/>
        <item h="1" x="69"/>
        <item h="1" x="571"/>
        <item h="1" x="764"/>
        <item h="1" x="605"/>
        <item h="1" x="849"/>
        <item h="1" x="656"/>
        <item h="1" x="125"/>
        <item h="1" x="629"/>
        <item h="1" x="914"/>
        <item h="1" x="786"/>
        <item h="1" x="366"/>
        <item h="1" x="1259"/>
        <item h="1" x="410"/>
        <item h="1" x="804"/>
        <item h="1" x="580"/>
        <item h="1" x="594"/>
        <item h="1" x="999"/>
        <item h="1" x="411"/>
        <item h="1" x="161"/>
        <item h="1" x="1119"/>
        <item h="1" x="1345"/>
        <item h="1" x="556"/>
        <item h="1" x="377"/>
        <item h="1" x="476"/>
        <item h="1" x="1083"/>
        <item h="1" x="853"/>
        <item h="1" x="1105"/>
        <item h="1" x="1195"/>
        <item h="1" x="250"/>
        <item h="1" x="756"/>
        <item h="1" x="696"/>
        <item h="1" x="353"/>
        <item h="1" x="117"/>
        <item h="1" x="472"/>
        <item h="1" x="217"/>
        <item h="1" x="862"/>
        <item h="1" x="140"/>
        <item h="1" x="526"/>
        <item h="1" x="1029"/>
        <item h="1" x="35"/>
        <item h="1" x="1301"/>
        <item h="1" x="396"/>
        <item h="1" x="1117"/>
        <item h="1" x="210"/>
        <item h="1" x="487"/>
        <item h="1" x="1310"/>
        <item h="1" x="13"/>
        <item h="1" x="1238"/>
        <item h="1" x="6"/>
        <item h="1" x="826"/>
        <item h="1" x="1179"/>
        <item h="1" x="36"/>
        <item h="1" x="687"/>
        <item h="1" x="539"/>
        <item h="1" x="1052"/>
        <item h="1" x="485"/>
        <item h="1" x="7"/>
        <item h="1" x="562"/>
        <item h="1" x="305"/>
        <item h="1" x="341"/>
        <item h="1" x="569"/>
        <item h="1" x="68"/>
        <item h="1" x="1207"/>
        <item h="1" x="1225"/>
        <item h="1" x="232"/>
        <item h="1" x="159"/>
        <item h="1" x="359"/>
        <item h="1" x="1168"/>
        <item h="1" x="143"/>
        <item h="1" x="252"/>
        <item h="1" x="457"/>
        <item h="1" x="1110"/>
        <item h="1" x="199"/>
        <item h="1" x="975"/>
        <item h="1" x="714"/>
        <item h="1" x="181"/>
        <item h="1" x="527"/>
        <item h="1" x="1158"/>
        <item h="1" x="1171"/>
        <item h="1" x="420"/>
        <item h="1" x="480"/>
        <item h="1" x="110"/>
        <item h="1" x="637"/>
        <item h="1" x="831"/>
        <item h="1" x="553"/>
        <item h="1" x="1091"/>
        <item h="1" x="924"/>
        <item h="1" x="285"/>
        <item h="1" x="773"/>
        <item h="1" x="222"/>
        <item h="1" x="254"/>
        <item h="1" x="628"/>
        <item h="1" x="643"/>
        <item h="1" x="617"/>
        <item h="1" x="1231"/>
        <item h="1" x="1336"/>
        <item h="1" x="1279"/>
        <item h="1" x="682"/>
        <item h="1" x="1055"/>
        <item h="1" x="604"/>
        <item h="1" x="498"/>
        <item h="1" x="724"/>
        <item h="1" x="801"/>
        <item h="1" x="115"/>
        <item h="1" x="469"/>
        <item h="1" x="1314"/>
        <item h="1" x="877"/>
        <item h="1" x="781"/>
        <item h="1" x="354"/>
        <item h="1" x="811"/>
        <item h="1" x="1239"/>
        <item h="1" x="1285"/>
        <item h="1" x="78"/>
        <item h="1" x="1144"/>
        <item h="1" x="1276"/>
        <item h="1" x="1282"/>
        <item h="1" x="106"/>
        <item h="1" x="859"/>
        <item h="1" x="407"/>
        <item h="1" x="105"/>
        <item h="1" x="1290"/>
        <item h="1" x="614"/>
        <item h="1" x="336"/>
        <item h="1" x="3"/>
        <item h="1" x="12"/>
        <item h="1" x="99"/>
        <item h="1" x="1124"/>
        <item h="1" x="1161"/>
        <item h="1" x="1249"/>
        <item h="1" x="17"/>
        <item h="1" x="808"/>
        <item h="1" x="131"/>
        <item h="1" x="942"/>
        <item h="1" x="98"/>
        <item h="1" x="24"/>
        <item h="1" x="1344"/>
        <item h="1" x="1040"/>
        <item h="1" x="620"/>
        <item h="1" x="1131"/>
        <item h="1" x="338"/>
        <item h="1" x="1339"/>
        <item h="1" x="759"/>
        <item h="1" x="425"/>
        <item h="1" x="1293"/>
        <item h="1" x="856"/>
        <item h="1" x="932"/>
        <item h="1" x="45"/>
        <item h="1" x="807"/>
        <item h="1" x="375"/>
        <item h="1" x="71"/>
        <item h="1" x="477"/>
        <item h="1" x="1173"/>
        <item h="1" x="536"/>
        <item h="1" x="166"/>
        <item h="1" x="1278"/>
        <item h="1" x="1307"/>
        <item h="1" x="5"/>
        <item h="1" x="1071"/>
        <item h="1" x="169"/>
        <item h="1" x="371"/>
        <item h="1" x="1068"/>
        <item h="1" x="803"/>
        <item h="1" x="178"/>
        <item h="1" x="1189"/>
        <item h="1" x="563"/>
        <item h="1" x="279"/>
        <item h="1" x="612"/>
        <item h="1" x="992"/>
        <item h="1" x="1002"/>
        <item h="1" x="1113"/>
        <item h="1" x="819"/>
        <item h="1" x="774"/>
        <item h="1" x="403"/>
        <item h="1" x="142"/>
        <item h="1" x="263"/>
        <item h="1" x="1063"/>
        <item h="1" x="226"/>
        <item h="1" x="504"/>
        <item h="1" x="945"/>
        <item h="1" x="268"/>
        <item h="1" x="550"/>
        <item h="1" x="778"/>
        <item h="1" x="635"/>
        <item h="1" x="1149"/>
        <item h="1" x="16"/>
        <item h="1" x="1115"/>
        <item h="1" x="282"/>
        <item h="1" x="1057"/>
        <item h="1" x="238"/>
        <item h="1" x="879"/>
        <item h="1" x="154"/>
        <item h="1" x="496"/>
        <item h="1" x="1311"/>
        <item h="1" x="740"/>
        <item h="1" x="1192"/>
        <item h="1" x="66"/>
        <item h="1" x="21"/>
        <item h="1" x="424"/>
        <item h="1" x="38"/>
        <item h="1" x="959"/>
        <item h="1" x="888"/>
        <item h="1" x="592"/>
        <item h="1" x="1138"/>
        <item h="1" x="49"/>
        <item h="1" x="1157"/>
        <item h="1" x="478"/>
        <item h="1" x="380"/>
        <item h="1" x="138"/>
        <item h="1" x="315"/>
        <item h="1" x="4"/>
        <item h="1" x="1139"/>
        <item h="1" x="253"/>
        <item h="1" x="1319"/>
        <item h="1" x="258"/>
        <item h="1" x="824"/>
        <item h="1" x="961"/>
        <item h="1" x="542"/>
        <item h="1" x="871"/>
        <item h="1" x="1082"/>
        <item h="1" x="1120"/>
        <item h="1" x="1177"/>
        <item h="1" x="1230"/>
        <item h="1" x="901"/>
        <item h="1" x="191"/>
        <item h="1" x="946"/>
        <item h="1" x="834"/>
        <item h="1" x="611"/>
        <item h="1" x="1212"/>
        <item h="1" x="793"/>
        <item h="1" x="814"/>
        <item h="1" x="659"/>
        <item h="1" x="463"/>
        <item h="1" x="943"/>
        <item h="1" x="683"/>
        <item h="1" x="968"/>
        <item h="1" x="745"/>
        <item h="1" x="909"/>
        <item h="1" x="984"/>
        <item h="1" x="465"/>
        <item h="1" x="291"/>
        <item h="1" x="179"/>
        <item h="1" x="753"/>
        <item h="1" x="848"/>
        <item h="1" x="326"/>
        <item h="1" x="1180"/>
        <item h="1" x="524"/>
        <item h="1" x="972"/>
        <item h="1" x="235"/>
        <item h="1" x="587"/>
        <item h="1" x="690"/>
        <item h="1" x="1304"/>
        <item h="1" x="436"/>
        <item h="1" x="841"/>
        <item h="1" x="597"/>
        <item h="1" x="419"/>
        <item h="1" x="1340"/>
        <item h="1" x="1221"/>
        <item h="1" x="198"/>
        <item h="1" x="362"/>
        <item h="1" x="557"/>
        <item h="1" x="997"/>
        <item h="1" x="876"/>
        <item h="1" x="520"/>
        <item h="1" x="1247"/>
        <item h="1" x="430"/>
        <item h="1" x="1237"/>
        <item h="1" x="885"/>
        <item h="1" x="1142"/>
        <item h="1" x="704"/>
        <item h="1" x="26"/>
        <item h="1" x="242"/>
        <item h="1" x="176"/>
        <item h="1" x="234"/>
        <item h="1" x="1077"/>
        <item h="1" x="19"/>
        <item h="1" x="738"/>
        <item h="1" x="1227"/>
        <item h="1" x="966"/>
        <item h="1" x="1305"/>
        <item h="1" x="1258"/>
        <item h="1" x="329"/>
        <item h="1" x="1121"/>
        <item h="1" x="1114"/>
        <item h="1" x="261"/>
        <item h="1" x="1175"/>
        <item h="1" x="20"/>
        <item h="1" x="55"/>
        <item h="1" x="717"/>
        <item h="1" x="500"/>
        <item h="1" x="394"/>
        <item h="1" x="777"/>
        <item h="1" x="996"/>
        <item h="1" x="593"/>
        <item h="1" x="431"/>
        <item h="1" x="1065"/>
        <item h="1" x="1025"/>
        <item h="1" x="1187"/>
        <item h="1" x="934"/>
        <item h="1" x="938"/>
        <item h="1" x="1014"/>
        <item h="1" x="1038"/>
        <item h="1" x="470"/>
        <item h="1" x="904"/>
        <item h="1" x="1286"/>
        <item h="1" x="726"/>
        <item h="1" x="1315"/>
        <item h="1" x="816"/>
        <item h="1" x="1197"/>
        <item h="1" x="691"/>
        <item h="1" x="85"/>
        <item h="1" x="52"/>
        <item h="1" x="964"/>
        <item h="1" x="684"/>
        <item h="1" x="636"/>
        <item h="1" x="1101"/>
        <item h="1" x="1184"/>
        <item h="1" x="11"/>
        <item h="1" x="606"/>
        <item h="1" x="378"/>
        <item h="1" x="1044"/>
        <item h="1" x="137"/>
        <item h="1" x="1196"/>
        <item h="1" x="94"/>
        <item h="1" x="703"/>
        <item h="1" x="418"/>
        <item h="1" x="464"/>
        <item h="1" x="699"/>
        <item h="1" x="558"/>
        <item h="1" x="905"/>
        <item h="1" x="610"/>
        <item h="1" x="171"/>
        <item h="1" x="546"/>
        <item h="1" x="369"/>
        <item h="1" x="440"/>
        <item h="1" x="779"/>
        <item h="1" x="948"/>
        <item h="1" x="1018"/>
        <item h="1" x="486"/>
        <item h="1" x="654"/>
        <item h="1" x="196"/>
        <item h="1" x="758"/>
        <item h="1" x="383"/>
        <item h="1" x="73"/>
        <item h="1" x="139"/>
        <item h="1" x="152"/>
        <item h="1" x="1020"/>
        <item h="1" x="788"/>
        <item h="1" x="81"/>
        <item h="1" x="817"/>
        <item h="1" x="1297"/>
        <item h="1" x="548"/>
        <item h="1" x="552"/>
        <item h="1" x="220"/>
        <item h="1" x="547"/>
        <item h="1" x="981"/>
        <item h="1" x="1095"/>
        <item h="1" x="689"/>
        <item h="1" x="555"/>
        <item h="1" x="573"/>
        <item h="1" x="1060"/>
        <item h="1" x="1254"/>
        <item h="1" x="960"/>
        <item h="1" x="1129"/>
        <item h="1" x="596"/>
        <item h="1" x="1348"/>
        <item h="1" x="794"/>
        <item h="1" x="796"/>
        <item h="1" x="72"/>
        <item h="1" x="192"/>
        <item h="1" x="578"/>
        <item h="1" x="1299"/>
        <item h="1" x="867"/>
        <item h="1" x="663"/>
        <item h="1" x="1209"/>
        <item h="1" x="387"/>
        <item h="1" x="180"/>
        <item h="1" x="237"/>
        <item h="1" x="805"/>
        <item h="1" x="312"/>
        <item h="1" x="284"/>
        <item h="1" x="386"/>
        <item h="1" x="870"/>
        <item h="1" x="1132"/>
        <item h="1" x="111"/>
        <item h="1" x="1163"/>
        <item h="1" x="749"/>
        <item h="1" x="385"/>
        <item h="1" x="402"/>
        <item h="1" x="894"/>
        <item h="1" x="623"/>
        <item h="1" x="864"/>
        <item h="1" x="823"/>
        <item h="1" x="825"/>
        <item h="1" x="507"/>
        <item h="1" x="275"/>
        <item h="1" x="398"/>
        <item h="1" x="393"/>
        <item h="1" x="129"/>
        <item h="1" x="44"/>
        <item h="1" x="506"/>
        <item h="1" x="1099"/>
        <item h="1" x="998"/>
        <item h="1" x="991"/>
        <item h="1" x="665"/>
        <item h="1" x="925"/>
        <item h="1" x="735"/>
        <item h="1" x="1300"/>
        <item h="1" x="743"/>
        <item h="1" x="886"/>
        <item h="1" x="912"/>
        <item h="1" x="502"/>
        <item h="1" x="1222"/>
        <item h="1" x="340"/>
        <item h="1" x="903"/>
        <item h="1" x="1062"/>
        <item h="1" x="141"/>
        <item h="1" x="649"/>
        <item h="1" x="503"/>
        <item h="1" x="320"/>
        <item h="1" x="1213"/>
        <item h="1" x="878"/>
        <item h="1" x="453"/>
        <item h="1" x="434"/>
        <item h="1" x="655"/>
        <item h="1" x="1046"/>
        <item h="1" x="927"/>
        <item h="1" x="757"/>
        <item h="1" x="1100"/>
        <item h="1" x="345"/>
        <item h="1" x="127"/>
        <item h="1" x="277"/>
        <item h="1" x="982"/>
        <item h="1" x="632"/>
        <item h="1" x="784"/>
        <item h="1" x="985"/>
        <item h="1" x="1273"/>
        <item h="1" x="1236"/>
        <item h="1" x="603"/>
        <item h="1" x="707"/>
        <item h="1" x="586"/>
        <item h="1" x="1325"/>
        <item h="1" x="1245"/>
        <item h="1" x="1001"/>
        <item h="1" x="439"/>
        <item h="1" x="100"/>
        <item h="1" x="401"/>
        <item h="1" x="302"/>
        <item h="1" x="721"/>
        <item h="1" x="1017"/>
        <item h="1" x="1335"/>
        <item h="1" x="499"/>
        <item h="1" x="1037"/>
        <item h="1" x="446"/>
        <item h="1" x="324"/>
        <item h="1" x="204"/>
        <item h="1" x="1067"/>
        <item h="1" x="1313"/>
        <item h="1" x="884"/>
        <item h="1" x="249"/>
        <item h="1" x="987"/>
        <item h="1" x="274"/>
        <item h="1" x="630"/>
        <item h="1" x="1127"/>
        <item h="1" x="365"/>
        <item h="1" x="132"/>
        <item h="1" x="833"/>
        <item h="1" x="513"/>
        <item h="1" x="119"/>
        <item h="1" x="775"/>
        <item h="1" x="711"/>
        <item h="1" x="1145"/>
        <item h="1" x="829"/>
        <item h="1" x="93"/>
        <item h="1" x="701"/>
        <item h="1" x="170"/>
        <item h="1" x="91"/>
        <item h="1" x="76"/>
        <item h="1" x="1251"/>
        <item h="1" x="1074"/>
        <item h="1" x="314"/>
        <item h="1" x="780"/>
        <item h="1" x="1051"/>
        <item h="1" x="674"/>
        <item h="1" x="416"/>
        <item h="1" x="918"/>
        <item h="1" x="675"/>
        <item h="1" x="1275"/>
        <item h="1" x="534"/>
        <item h="1" x="575"/>
        <item h="1" x="1312"/>
        <item h="1" x="537"/>
        <item h="1" x="77"/>
        <item h="1" x="1"/>
        <item h="1" x="1323"/>
        <item h="1" x="1162"/>
        <item h="1" x="1269"/>
        <item h="1" x="1217"/>
        <item h="1" x="792"/>
        <item h="1" x="582"/>
        <item h="1" x="101"/>
        <item h="1" x="845"/>
        <item h="1" x="600"/>
        <item h="1" x="626"/>
        <item h="1" x="1087"/>
        <item h="1" x="1022"/>
        <item h="1" x="1066"/>
        <item h="1" x="89"/>
        <item h="1" x="304"/>
        <item h="1" x="828"/>
        <item h="1" x="311"/>
        <item h="1" x="615"/>
        <item h="1" x="9"/>
        <item h="1" x="319"/>
        <item h="1" x="255"/>
        <item h="1" x="363"/>
        <item h="1" x="322"/>
        <item h="1" x="355"/>
        <item h="1" x="193"/>
        <item h="1" x="1167"/>
        <item h="1" x="1088"/>
        <item h="1" x="346"/>
        <item h="1" x="983"/>
        <item h="1" x="367"/>
        <item h="1" x="535"/>
        <item h="1" x="1308"/>
        <item h="1" x="567"/>
        <item h="1" x="549"/>
        <item h="1" x="80"/>
        <item h="1" x="1061"/>
        <item h="1" x="447"/>
        <item h="1" x="798"/>
        <item h="1" x="800"/>
        <item h="1" x="1112"/>
        <item h="1" x="917"/>
        <item h="1" x="1111"/>
        <item h="1" x="1283"/>
        <item h="1" x="39"/>
        <item h="1" x="1064"/>
        <item h="1" x="1268"/>
        <item h="1" x="48"/>
        <item h="1" x="1347"/>
        <item h="1" x="508"/>
        <item h="1" x="1260"/>
        <item h="1" x="517"/>
        <item h="1" x="1330"/>
        <item h="1" x="874"/>
        <item h="1" x="276"/>
        <item h="1" x="923"/>
        <item h="1" x="1092"/>
        <item h="1" x="1081"/>
        <item h="1" x="88"/>
        <item h="1" x="50"/>
        <item h="1" x="466"/>
        <item h="1" x="931"/>
        <item h="1" x="1182"/>
        <item h="1" x="1103"/>
        <item h="1" x="698"/>
        <item h="1" x="67"/>
        <item h="1" x="1104"/>
        <item h="1" x="292"/>
        <item h="1" x="299"/>
        <item h="1" x="551"/>
        <item h="1" x="974"/>
        <item h="1" x="1261"/>
        <item h="1" x="680"/>
        <item h="1" x="1102"/>
        <item h="1" x="1253"/>
        <item h="1" x="1193"/>
        <item h="1" x="489"/>
        <item h="1" x="622"/>
        <item h="1" x="452"/>
        <item h="1" x="260"/>
        <item h="1" x="761"/>
        <item h="1" x="147"/>
        <item h="1" x="1288"/>
        <item h="1" x="958"/>
        <item h="1" x="301"/>
        <item h="1" x="295"/>
        <item h="1" x="670"/>
        <item h="1" x="1242"/>
        <item h="1" x="298"/>
        <item h="1" x="1219"/>
        <item h="1" x="1303"/>
        <item h="1" x="473"/>
        <item h="1" x="1337"/>
        <item h="1" x="787"/>
        <item h="1" x="376"/>
        <item h="1" x="785"/>
        <item h="1" x="1264"/>
        <item h="1" x="1079"/>
        <item h="1" x="104"/>
        <item h="1" x="280"/>
        <item h="1" x="1266"/>
        <item h="1" x="1194"/>
        <item h="1" x="990"/>
        <item h="1" x="1073"/>
        <item h="1" x="939"/>
        <item h="1" x="1075"/>
        <item h="1" x="46"/>
        <item h="1" x="316"/>
        <item h="1" x="957"/>
        <item h="1" x="1169"/>
        <item h="1" x="1188"/>
        <item h="1" x="286"/>
        <item h="1" x="658"/>
        <item h="1" x="1085"/>
        <item h="1" x="1028"/>
        <item h="1" x="134"/>
        <item h="1" x="1246"/>
        <item h="1" x="216"/>
        <item h="1" x="56"/>
        <item h="1" x="188"/>
        <item h="1" x="591"/>
        <item h="1" x="215"/>
        <item h="1" x="241"/>
        <item h="1" x="1291"/>
        <item h="1" x="344"/>
        <item h="1" x="554"/>
        <item h="1" x="475"/>
        <item h="1" x="0"/>
        <item h="1" x="1178"/>
        <item h="1" x="337"/>
        <item h="1" x="572"/>
        <item h="1" x="108"/>
        <item h="1" x="1033"/>
        <item h="1" x="399"/>
        <item h="1" x="330"/>
        <item h="1" x="929"/>
        <item h="1" x="908"/>
        <item h="1" x="153"/>
        <item h="1" x="1147"/>
        <item h="1" x="528"/>
        <item h="1" x="118"/>
        <item h="1" x="896"/>
        <item h="1" x="57"/>
        <item h="1" x="121"/>
        <item h="1" x="928"/>
        <item h="1" x="540"/>
        <item h="1" x="595"/>
        <item h="1" x="881"/>
        <item h="1" x="331"/>
        <item h="1" x="70"/>
        <item h="1" x="433"/>
        <item h="1" x="936"/>
        <item h="1" x="642"/>
        <item h="1" x="195"/>
        <item h="1" x="458"/>
        <item h="1" x="543"/>
        <item h="1" x="579"/>
        <item h="1" x="1159"/>
        <item h="1" x="1324"/>
        <item h="1" x="482"/>
        <item h="1" x="1302"/>
        <item h="1" x="602"/>
        <item h="1" x="136"/>
        <item h="1" x="323"/>
        <item h="1" x="922"/>
        <item h="1" x="358"/>
        <item h="1" x="1226"/>
        <item h="1" x="708"/>
        <item h="1" x="1004"/>
        <item h="1" x="529"/>
        <item h="1" x="1031"/>
        <item h="1" x="271"/>
        <item h="1" x="303"/>
        <item h="1" x="1140"/>
        <item h="1" x="243"/>
        <item h="1" x="1030"/>
        <item h="1" x="455"/>
        <item h="1" x="31"/>
        <item h="1" x="1150"/>
        <item h="1" x="806"/>
        <item h="1" x="63"/>
        <item h="1" x="559"/>
        <item h="1" x="267"/>
        <item h="1" x="1204"/>
        <item h="1" x="1141"/>
        <item h="1" x="613"/>
        <item h="1" x="382"/>
        <item h="1" x="361"/>
        <item h="1" x="247"/>
        <item h="1" x="1003"/>
        <item h="1" x="194"/>
        <item h="1" x="126"/>
        <item h="1" x="391"/>
        <item h="1" x="795"/>
        <item h="1" x="437"/>
        <item h="1" x="1256"/>
        <item h="1" x="634"/>
        <item h="1" x="850"/>
        <item h="1" x="541"/>
        <item h="1" x="259"/>
        <item h="1" x="490"/>
        <item h="1" x="979"/>
        <item h="1" x="1334"/>
        <item h="1" x="349"/>
        <item h="1" x="1284"/>
        <item h="1" x="200"/>
        <item h="1" x="889"/>
        <item h="1" x="926"/>
        <item h="1" x="752"/>
        <item h="1" x="212"/>
        <item h="1" x="1329"/>
        <item h="1" x="660"/>
        <item h="1" x="1333"/>
        <item h="1" x="1148"/>
        <item h="1" x="351"/>
        <item h="1" x="347"/>
        <item h="1" x="771"/>
        <item h="1" x="509"/>
        <item h="1" x="1205"/>
        <item h="1" x="197"/>
        <item h="1" x="445"/>
        <item h="1" x="844"/>
        <item h="1" x="1045"/>
        <item h="1" x="27"/>
        <item h="1" x="843"/>
        <item h="1" x="1262"/>
        <item h="1" x="1096"/>
        <item h="1" x="832"/>
        <item h="1" x="1210"/>
        <item h="1" x="710"/>
        <item h="1" x="1199"/>
        <item h="1" x="576"/>
        <item h="1" x="1143"/>
        <item h="1" x="907"/>
        <item h="1" x="296"/>
        <item h="1" x="248"/>
        <item h="1" x="648"/>
        <item h="1" x="662"/>
        <item h="1" x="1218"/>
        <item h="1" x="1116"/>
        <item h="1" x="1109"/>
        <item h="1" x="1013"/>
        <item h="1" x="887"/>
        <item h="1" x="481"/>
        <item h="1" x="747"/>
        <item h="1" x="1160"/>
        <item h="1" x="333"/>
        <item h="1" x="82"/>
        <item h="1" x="669"/>
        <item h="1" x="148"/>
        <item h="1" x="1235"/>
        <item h="1" x="789"/>
        <item h="1" x="767"/>
        <item h="1" x="827"/>
        <item h="1" x="646"/>
        <item h="1" x="438"/>
        <item h="1" x="511"/>
        <item h="1" x="112"/>
        <item h="1" x="1026"/>
        <item h="1" x="969"/>
        <item h="1" x="327"/>
        <item h="1" x="107"/>
        <item h="1" x="448"/>
        <item h="1" x="1292"/>
        <item h="1" x="720"/>
        <item h="1" x="313"/>
        <item h="1" x="949"/>
        <item h="1" x="545"/>
        <item h="1" x="373"/>
        <item h="1" x="510"/>
        <item h="1" x="426"/>
        <item h="1" x="60"/>
        <item h="1" x="201"/>
        <item h="1" x="624"/>
        <item h="1" x="1322"/>
        <item h="1" x="581"/>
        <item h="1" x="765"/>
        <item h="1" x="491"/>
        <item h="1" x="751"/>
        <item h="1" x="772"/>
        <item h="1" x="671"/>
        <item h="1" x="1128"/>
        <item h="1" x="523"/>
        <item h="1" x="1126"/>
        <item h="1" x="672"/>
        <item h="1" x="913"/>
        <item h="1" x="223"/>
        <item h="1" x="1078"/>
        <item h="1" x="395"/>
        <item h="1" x="875"/>
        <item h="1" x="947"/>
        <item h="1" x="1191"/>
        <item h="1" x="1086"/>
        <item h="1" x="290"/>
        <item h="1" x="335"/>
        <item h="1" x="1257"/>
        <item h="1" x="501"/>
        <item h="1" x="1166"/>
        <item h="1" x="130"/>
        <item h="1" x="783"/>
        <item h="1" x="1047"/>
        <item h="1" x="334"/>
        <item h="1" x="1186"/>
        <item h="1" x="1156"/>
        <item h="1" x="1008"/>
        <item h="1" x="855"/>
        <item h="1" x="484"/>
        <item h="1" x="392"/>
        <item h="1" x="727"/>
        <item h="1" x="412"/>
        <item h="1" x="892"/>
        <item h="1" x="977"/>
        <item h="1" x="207"/>
        <item h="1" x="902"/>
        <item h="1" x="1164"/>
        <item h="1" x="1224"/>
        <item h="1" x="1010"/>
        <item h="1" x="994"/>
        <item h="1" x="505"/>
        <item h="1" x="1281"/>
        <item h="1" x="1306"/>
        <item h="1" x="135"/>
        <item h="1" x="165"/>
        <item h="1" x="737"/>
        <item h="1" x="42"/>
        <item h="1" x="763"/>
        <item h="1" x="224"/>
        <item h="1" x="518"/>
        <item h="1" x="741"/>
        <item h="1" x="451"/>
        <item h="1" x="1332"/>
        <item h="1" x="493"/>
        <item h="1" x="1048"/>
        <item h="1" x="731"/>
        <item h="1" x="214"/>
        <item h="1" x="1203"/>
        <item h="1" x="1331"/>
        <item h="1" x="317"/>
        <item h="1" x="821"/>
        <item h="1" x="151"/>
        <item h="1" x="54"/>
        <item h="1" x="421"/>
        <item h="1" x="891"/>
        <item h="1" x="965"/>
        <item h="1" x="128"/>
        <item h="1" x="1130"/>
        <item h="1" x="1034"/>
        <item h="1" x="952"/>
        <item h="1" x="356"/>
        <item h="1" x="944"/>
        <item h="1" x="973"/>
        <item h="1" x="205"/>
        <item h="1" x="164"/>
        <item h="1" x="488"/>
        <item h="1" x="160"/>
        <item h="1" x="1123"/>
        <item h="1" x="8"/>
        <item h="1" x="184"/>
        <item h="1" x="748"/>
        <item h="1" x="468"/>
        <item h="1" x="1151"/>
        <item h="1" x="297"/>
        <item h="1" x="86"/>
        <item h="1" x="1211"/>
        <item h="1" x="1201"/>
        <item h="1" x="1287"/>
        <item h="1" x="350"/>
        <item h="1" x="653"/>
        <item h="1" x="1243"/>
        <item h="1" x="1032"/>
        <item h="1" x="1019"/>
        <item h="1" x="64"/>
        <item h="1" x="718"/>
        <item h="1" x="114"/>
        <item h="1" x="1153"/>
        <item h="1" x="427"/>
        <item h="1" x="895"/>
        <item h="1" x="1267"/>
        <item h="1" x="51"/>
        <item h="1" x="1280"/>
        <item h="1" x="1228"/>
        <item h="1" x="1043"/>
        <item h="1" x="1343"/>
        <item h="1" x="428"/>
        <item h="1" x="739"/>
        <item h="1" x="15"/>
        <item h="1" x="208"/>
        <item h="1" x="325"/>
        <item h="1" x="1346"/>
        <item h="1" x="933"/>
        <item h="1" x="910"/>
        <item h="1" x="244"/>
        <item h="1" x="61"/>
        <item h="1" x="1021"/>
        <item h="1" x="1036"/>
        <item h="1" x="993"/>
        <item h="1" x="585"/>
        <item h="1" x="873"/>
        <item h="1" x="79"/>
        <item h="1" x="28"/>
        <item h="1" x="830"/>
        <item h="1" x="415"/>
        <item h="1" x="797"/>
        <item h="1" x="1076"/>
        <item h="1" x="123"/>
        <item h="1" x="742"/>
        <item h="1" x="661"/>
        <item h="1" x="1208"/>
        <item h="1" x="1146"/>
        <item h="1" x="836"/>
        <item h="1" x="694"/>
        <item h="1" x="206"/>
        <item h="1" x="1317"/>
        <item h="1" x="1072"/>
        <item h="1" x="762"/>
        <item h="1" x="1200"/>
        <item h="1" x="1289"/>
        <item h="1" x="174"/>
        <item h="1" x="988"/>
        <item h="1" x="514"/>
        <item h="1" x="746"/>
        <item h="1" x="357"/>
        <item h="1" x="838"/>
        <item h="1" x="866"/>
        <item h="1" x="449"/>
        <item h="1" x="644"/>
        <item h="1" x="930"/>
        <item h="1" x="219"/>
        <item h="1" x="422"/>
        <item h="1" x="133"/>
        <item h="1" x="90"/>
        <item h="1" x="607"/>
        <item h="1" x="730"/>
        <item h="1" x="492"/>
        <item h="1" x="693"/>
        <item h="1" x="1133"/>
        <item h="1" x="599"/>
        <item h="1" x="967"/>
        <item h="1" x="733"/>
        <item h="1" x="768"/>
        <item h="1" x="688"/>
        <item h="1" x="970"/>
        <item h="1" x="1341"/>
        <item h="1" x="155"/>
        <item h="1" x="715"/>
        <item h="1" x="1122"/>
        <item h="1" x="619"/>
        <item h="1" x="935"/>
        <item h="1" x="444"/>
        <item h="1" x="598"/>
        <item h="1" x="245"/>
        <item h="1" x="364"/>
        <item h="1" x="744"/>
        <item h="1" x="700"/>
        <item h="1" x="1298"/>
        <item h="1" x="530"/>
        <item h="1" x="512"/>
        <item h="1" x="1005"/>
        <item h="1" x="1056"/>
        <item h="1" x="695"/>
        <item h="1" x="332"/>
        <item h="1" x="442"/>
        <item h="1" x="113"/>
        <item h="1" x="566"/>
        <item h="1" x="522"/>
        <item h="1" x="618"/>
        <item h="1" x="265"/>
        <item h="1" x="306"/>
        <item h="1" x="719"/>
        <item h="1" x="893"/>
        <item h="1" x="409"/>
        <item h="1" x="1309"/>
        <item h="1" x="22"/>
        <item h="1" x="270"/>
        <item h="1" x="1342"/>
        <item h="1" x="300"/>
        <item h="1" x="769"/>
        <item h="1" x="218"/>
        <item h="1" x="209"/>
        <item h="1" x="343"/>
        <item h="1" x="702"/>
        <item h="1" x="584"/>
        <item h="1" x="1135"/>
        <item h="1" x="1176"/>
        <item h="1" x="1183"/>
        <item h="1" x="776"/>
        <item h="1" x="915"/>
        <item h="1" x="835"/>
        <item h="1" x="673"/>
        <item h="1" x="1316"/>
        <item h="1" x="390"/>
        <item h="1" x="1229"/>
        <item h="1" x="435"/>
        <item h="1" x="74"/>
        <item h="1" x="937"/>
        <item h="1" x="1090"/>
        <item h="1" x="713"/>
        <item h="1" x="1296"/>
        <item h="1" x="1255"/>
        <item h="1" x="920"/>
        <item h="1" x="53"/>
        <item h="1" x="1190"/>
        <item h="1" x="262"/>
        <item h="1" x="790"/>
        <item h="1" x="87"/>
        <item h="1" x="288"/>
        <item h="1" x="92"/>
        <item h="1" x="1328"/>
        <item h="1" x="861"/>
        <item h="1" x="650"/>
        <item h="1" x="211"/>
        <item h="1" x="269"/>
        <item h="1" x="423"/>
        <item h="1" x="75"/>
        <item h="1" x="240"/>
        <item h="1" x="919"/>
        <item h="1" x="706"/>
        <item h="1" x="185"/>
        <item h="1" x="1318"/>
        <item h="1" x="976"/>
        <item h="1" x="791"/>
        <item h="1" x="525"/>
        <item h="1" x="601"/>
        <item h="1" x="95"/>
        <item h="1" x="309"/>
        <item h="1" x="1094"/>
        <item h="1" x="686"/>
        <item h="1" x="906"/>
        <item h="1" x="413"/>
        <item h="1" x="621"/>
        <item h="1" x="379"/>
        <item h="1" x="1015"/>
        <item h="1" x="951"/>
        <item h="1" x="62"/>
        <item h="1" x="515"/>
        <item h="1" x="668"/>
        <item h="1" x="1080"/>
        <item h="1" x="1108"/>
        <item h="1" x="474"/>
        <item h="1" x="18"/>
        <item h="1" x="1214"/>
        <item h="1" x="1107"/>
        <item h="1" x="339"/>
        <item h="1" x="293"/>
        <item h="1" x="1006"/>
        <item h="1" x="231"/>
        <item h="1" x="852"/>
        <item h="1" x="441"/>
        <item h="1" x="1206"/>
        <item h="1" x="590"/>
        <item h="1" x="1007"/>
        <item h="1" x="1089"/>
        <item h="1" x="954"/>
        <item h="1" x="1023"/>
        <item h="1" x="397"/>
        <item h="1" x="450"/>
        <item h="1" x="978"/>
        <item h="1" x="1009"/>
        <item h="1" x="471"/>
        <item h="1" x="368"/>
        <item h="1" x="1137"/>
        <item h="1" x="568"/>
        <item h="1" x="732"/>
        <item h="1" x="190"/>
        <item h="1" x="941"/>
        <item h="1" x="1248"/>
        <item h="1" x="432"/>
        <item h="1" x="538"/>
        <item h="1" x="257"/>
        <item h="1" x="890"/>
        <item h="1" x="760"/>
        <item h="1" x="116"/>
        <item h="1" x="989"/>
        <item h="1" x="414"/>
        <item h="1" x="812"/>
        <item h="1" x="307"/>
        <item h="1" x="666"/>
        <item h="1" x="883"/>
        <item h="1" x="583"/>
        <item h="1" x="963"/>
        <item h="1" x="1250"/>
        <item h="1" x="144"/>
        <item h="1" x="109"/>
        <item h="1" x="679"/>
        <item h="1" x="1097"/>
        <item h="1" x="677"/>
        <item h="1" x="766"/>
        <item h="1" x="1053"/>
        <item h="1" x="273"/>
        <item h="1" x="1098"/>
        <item h="1" x="564"/>
        <item h="1" x="716"/>
        <item h="1" x="755"/>
        <item h="1" x="842"/>
        <item h="1" x="818"/>
        <item h="1" x="417"/>
        <item h="1" x="1271"/>
        <item h="1" x="625"/>
        <item h="1" x="406"/>
        <item h="1" x="882"/>
        <item h="1" x="103"/>
        <item h="1" x="460"/>
        <item h="1" x="854"/>
        <item h="1" x="851"/>
        <item h="1" x="321"/>
        <item h="1" x="705"/>
        <item h="1" x="560"/>
        <item h="1" x="809"/>
        <item h="1" x="283"/>
        <item h="1" x="847"/>
        <item h="1" x="183"/>
        <item h="1" x="59"/>
        <item h="1" x="863"/>
        <item h="1" x="860"/>
        <item h="1" x="102"/>
        <item h="1" x="1326"/>
        <item h="1" x="29"/>
        <item h="1" x="182"/>
        <item h="1" x="1172"/>
        <item h="1" x="264"/>
        <item h="1" x="1058"/>
        <item h="1" x="233"/>
        <item h="1" x="820"/>
        <item h="1" x="25"/>
        <item h="1" x="516"/>
        <item h="1" x="272"/>
        <item h="1" x="1274"/>
        <item h="1" x="899"/>
        <item h="1" x="519"/>
        <item h="1" x="869"/>
        <item h="1" x="389"/>
        <item h="1" x="239"/>
        <item h="1" x="227"/>
        <item h="1" x="725"/>
        <item h="1" x="570"/>
        <item h="1" x="318"/>
        <item h="1" x="1185"/>
        <item h="1" x="1049"/>
        <item h="1" x="1232"/>
        <item h="1" x="381"/>
        <item h="1" x="681"/>
        <item h="1" x="1320"/>
        <item h="1" x="251"/>
        <item h="1" x="456"/>
        <item h="1" x="479"/>
        <item h="1" x="229"/>
        <item h="1" x="120"/>
        <item h="1" x="43"/>
        <item h="1" x="400"/>
        <item h="1" x="1041"/>
        <item h="1" x="1050"/>
        <item h="1" x="770"/>
        <item h="1" x="729"/>
        <item h="1" x="1294"/>
        <item h="1" x="1070"/>
        <item h="1" x="1233"/>
        <item h="1" x="950"/>
        <item h="1" x="900"/>
        <item h="1" x="846"/>
        <item h="1" x="1152"/>
        <item h="1" x="712"/>
        <item h="1" x="865"/>
        <item h="1" x="544"/>
        <item h="1" x="162"/>
        <item h="1" x="802"/>
        <item h="1" x="709"/>
        <item h="1"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3">
    <i>
      <x v="1"/>
    </i>
    <i r="1">
      <x v="1"/>
    </i>
    <i t="grand">
      <x/>
    </i>
  </rowItems>
  <colFields count="1">
    <field x="-2"/>
  </colFields>
  <colItems count="2">
    <i>
      <x/>
    </i>
    <i i="1">
      <x v="1"/>
    </i>
  </colItems>
  <dataFields count="2">
    <dataField name="Count of Attrition" fld="1" subtotal="count" baseField="0" baseItem="0"/>
    <dataField name="Count of Attrition2" fld="1" subtotal="count" baseField="4" baseItem="0" numFmtId="10">
      <extLst>
        <ext xmlns:x14="http://schemas.microsoft.com/office/spreadsheetml/2009/9/main" uri="{E15A36E0-9728-4e99-A89B-3F7291B0FE68}">
          <x14:dataField pivotShowAs="percentOfParentRow"/>
        </ext>
      </extLst>
    </dataField>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69D94-3D2B-4EA5-97CC-4A3C4D1F2B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0" firstDataRow="1" firstDataCol="1"/>
  <pivotFields count="36">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items count="1350">
        <item h="1" x="495"/>
        <item h="1" x="692"/>
        <item h="1" x="723"/>
        <item h="1" x="1240"/>
        <item h="1" x="1263"/>
        <item h="1" x="173"/>
        <item h="1" x="858"/>
        <item h="1" x="1295"/>
        <item h="1" x="294"/>
        <item h="1" x="857"/>
        <item h="1" x="23"/>
        <item h="1" x="955"/>
        <item h="1" x="986"/>
        <item h="1" x="497"/>
        <item h="1" x="953"/>
        <item h="1" x="1118"/>
        <item h="1" x="734"/>
        <item h="1" x="289"/>
        <item h="1" x="146"/>
        <item h="1" x="1215"/>
        <item h="1" x="1134"/>
        <item h="1" x="1000"/>
        <item h="1" x="1069"/>
        <item x="561"/>
        <item h="1" x="916"/>
        <item h="1" x="124"/>
        <item h="1" x="405"/>
        <item h="1" x="589"/>
        <item h="1" x="1321"/>
        <item h="1" x="840"/>
        <item h="1" x="443"/>
        <item h="1" x="782"/>
        <item h="1" x="40"/>
        <item h="1" x="1338"/>
        <item h="1" x="728"/>
        <item h="1" x="641"/>
        <item h="1" x="839"/>
        <item h="1" x="1093"/>
        <item h="1" x="37"/>
        <item h="1" x="1012"/>
        <item h="1" x="608"/>
        <item h="1" x="158"/>
        <item h="1" x="14"/>
        <item h="1" x="921"/>
        <item h="1" x="462"/>
        <item h="1" x="96"/>
        <item h="1" x="633"/>
        <item h="1" x="494"/>
        <item h="1" x="213"/>
        <item h="1" x="1042"/>
        <item h="1" x="1244"/>
        <item h="1" x="995"/>
        <item h="1" x="962"/>
        <item h="1" x="266"/>
        <item h="1" x="97"/>
        <item h="1" x="1035"/>
        <item h="1" x="84"/>
        <item h="1" x="880"/>
        <item h="1" x="483"/>
        <item h="1" x="33"/>
        <item h="1" x="168"/>
        <item h="1" x="189"/>
        <item h="1" x="2"/>
        <item h="1" x="429"/>
        <item h="1" x="461"/>
        <item h="1" x="408"/>
        <item h="1" x="956"/>
        <item h="1" x="1223"/>
        <item h="1" x="815"/>
        <item h="1" x="971"/>
        <item h="1" x="278"/>
        <item h="1" x="328"/>
        <item h="1" x="657"/>
        <item h="1" x="459"/>
        <item h="1" x="685"/>
        <item h="1" x="1270"/>
        <item h="1" x="1059"/>
        <item h="1" x="574"/>
        <item h="1" x="1277"/>
        <item h="1" x="1154"/>
        <item h="1" x="1202"/>
        <item h="1" x="203"/>
        <item h="1" x="868"/>
        <item h="1" x="664"/>
        <item h="1" x="1084"/>
        <item h="1" x="810"/>
        <item h="1" x="348"/>
        <item h="1" x="256"/>
        <item h="1" x="221"/>
        <item h="1" x="1155"/>
        <item h="1" x="467"/>
        <item h="1" x="65"/>
        <item h="1" x="360"/>
        <item h="1" x="32"/>
        <item h="1" x="750"/>
        <item h="1" x="822"/>
        <item h="1" x="352"/>
        <item h="1" x="521"/>
        <item h="1" x="388"/>
        <item h="1" x="722"/>
        <item h="1" x="1265"/>
        <item h="1" x="156"/>
        <item h="1" x="236"/>
        <item h="1" x="837"/>
        <item h="1" x="145"/>
        <item h="1" x="372"/>
        <item h="1" x="384"/>
        <item h="1" x="647"/>
        <item h="1" x="228"/>
        <item h="1" x="47"/>
        <item h="1" x="678"/>
        <item h="1" x="1011"/>
        <item h="1" x="577"/>
        <item h="1" x="1125"/>
        <item h="1" x="627"/>
        <item h="1" x="187"/>
        <item h="1" x="374"/>
        <item h="1" x="175"/>
        <item h="1" x="1174"/>
        <item h="1" x="813"/>
        <item h="1" x="34"/>
        <item h="1" x="1024"/>
        <item h="1" x="532"/>
        <item h="1" x="897"/>
        <item h="1" x="1136"/>
        <item h="1" x="149"/>
        <item h="1" x="1252"/>
        <item h="1" x="1016"/>
        <item h="1" x="177"/>
        <item h="1" x="754"/>
        <item h="1" x="609"/>
        <item h="1" x="640"/>
        <item h="1" x="565"/>
        <item h="1" x="676"/>
        <item h="1" x="83"/>
        <item h="1" x="157"/>
        <item h="1" x="167"/>
        <item h="1" x="287"/>
        <item h="1" x="202"/>
        <item h="1" x="645"/>
        <item h="1" x="651"/>
        <item h="1" x="1216"/>
        <item h="1" x="1327"/>
        <item h="1" x="246"/>
        <item h="1" x="41"/>
        <item h="1" x="531"/>
        <item h="1" x="980"/>
        <item h="1" x="150"/>
        <item h="1" x="404"/>
        <item h="1" x="616"/>
        <item h="1" x="898"/>
        <item h="1" x="588"/>
        <item h="1" x="1039"/>
        <item h="1" x="122"/>
        <item h="1" x="342"/>
        <item h="1" x="872"/>
        <item h="1" x="281"/>
        <item h="1" x="799"/>
        <item h="1" x="638"/>
        <item h="1" x="1220"/>
        <item h="1" x="631"/>
        <item h="1" x="911"/>
        <item h="1" x="225"/>
        <item h="1" x="940"/>
        <item h="1" x="1181"/>
        <item h="1" x="454"/>
        <item h="1" x="639"/>
        <item h="1" x="58"/>
        <item h="1" x="1054"/>
        <item h="1" x="652"/>
        <item h="1" x="697"/>
        <item h="1" x="10"/>
        <item h="1" x="1027"/>
        <item h="1" x="1272"/>
        <item h="1" x="230"/>
        <item h="1" x="1170"/>
        <item h="1" x="1198"/>
        <item h="1" x="1234"/>
        <item h="1" x="1106"/>
        <item h="1" x="533"/>
        <item h="1" x="163"/>
        <item h="1" x="308"/>
        <item h="1" x="736"/>
        <item h="1" x="1165"/>
        <item h="1" x="1241"/>
        <item h="1" x="370"/>
        <item h="1" x="310"/>
        <item h="1" x="667"/>
        <item h="1" x="30"/>
        <item h="1" x="172"/>
        <item h="1" x="69"/>
        <item h="1" x="571"/>
        <item h="1" x="764"/>
        <item h="1" x="605"/>
        <item h="1" x="849"/>
        <item h="1" x="656"/>
        <item h="1" x="125"/>
        <item h="1" x="629"/>
        <item h="1" x="914"/>
        <item h="1" x="786"/>
        <item h="1" x="366"/>
        <item h="1" x="1259"/>
        <item h="1" x="410"/>
        <item h="1" x="804"/>
        <item h="1" x="580"/>
        <item h="1" x="594"/>
        <item h="1" x="999"/>
        <item h="1" x="411"/>
        <item h="1" x="161"/>
        <item h="1" x="1119"/>
        <item h="1" x="1345"/>
        <item h="1" x="556"/>
        <item h="1" x="377"/>
        <item h="1" x="476"/>
        <item h="1" x="1083"/>
        <item h="1" x="853"/>
        <item h="1" x="1105"/>
        <item h="1" x="1195"/>
        <item h="1" x="250"/>
        <item h="1" x="756"/>
        <item h="1" x="696"/>
        <item h="1" x="353"/>
        <item h="1" x="117"/>
        <item h="1" x="472"/>
        <item h="1" x="217"/>
        <item h="1" x="862"/>
        <item h="1" x="140"/>
        <item h="1" x="526"/>
        <item h="1" x="1029"/>
        <item h="1" x="35"/>
        <item h="1" x="1301"/>
        <item h="1" x="396"/>
        <item h="1" x="1117"/>
        <item h="1" x="210"/>
        <item h="1" x="487"/>
        <item h="1" x="1310"/>
        <item h="1" x="13"/>
        <item h="1" x="1238"/>
        <item h="1" x="6"/>
        <item h="1" x="826"/>
        <item h="1" x="1179"/>
        <item h="1" x="36"/>
        <item h="1" x="687"/>
        <item h="1" x="539"/>
        <item h="1" x="1052"/>
        <item h="1" x="485"/>
        <item h="1" x="7"/>
        <item h="1" x="562"/>
        <item h="1" x="305"/>
        <item h="1" x="341"/>
        <item h="1" x="569"/>
        <item h="1" x="68"/>
        <item h="1" x="1207"/>
        <item h="1" x="1225"/>
        <item h="1" x="232"/>
        <item h="1" x="159"/>
        <item h="1" x="359"/>
        <item h="1" x="1168"/>
        <item h="1" x="143"/>
        <item h="1" x="252"/>
        <item h="1" x="457"/>
        <item h="1" x="1110"/>
        <item h="1" x="199"/>
        <item h="1" x="975"/>
        <item h="1" x="714"/>
        <item h="1" x="181"/>
        <item h="1" x="527"/>
        <item h="1" x="1158"/>
        <item h="1" x="1171"/>
        <item h="1" x="420"/>
        <item h="1" x="480"/>
        <item h="1" x="110"/>
        <item h="1" x="637"/>
        <item h="1" x="831"/>
        <item h="1" x="553"/>
        <item h="1" x="1091"/>
        <item h="1" x="924"/>
        <item h="1" x="285"/>
        <item h="1" x="773"/>
        <item h="1" x="222"/>
        <item h="1" x="254"/>
        <item h="1" x="628"/>
        <item h="1" x="643"/>
        <item h="1" x="617"/>
        <item h="1" x="1231"/>
        <item h="1" x="1336"/>
        <item h="1" x="1279"/>
        <item h="1" x="682"/>
        <item h="1" x="1055"/>
        <item h="1" x="604"/>
        <item h="1" x="498"/>
        <item h="1" x="724"/>
        <item h="1" x="801"/>
        <item h="1" x="115"/>
        <item h="1" x="469"/>
        <item h="1" x="1314"/>
        <item h="1" x="877"/>
        <item h="1" x="781"/>
        <item h="1" x="354"/>
        <item h="1" x="811"/>
        <item h="1" x="1239"/>
        <item h="1" x="1285"/>
        <item h="1" x="78"/>
        <item h="1" x="1144"/>
        <item h="1" x="1276"/>
        <item h="1" x="1282"/>
        <item h="1" x="106"/>
        <item h="1" x="859"/>
        <item h="1" x="407"/>
        <item h="1" x="105"/>
        <item h="1" x="1290"/>
        <item h="1" x="614"/>
        <item h="1" x="336"/>
        <item h="1" x="3"/>
        <item h="1" x="12"/>
        <item h="1" x="99"/>
        <item h="1" x="1124"/>
        <item h="1" x="1161"/>
        <item h="1" x="1249"/>
        <item h="1" x="17"/>
        <item h="1" x="808"/>
        <item h="1" x="131"/>
        <item h="1" x="942"/>
        <item h="1" x="98"/>
        <item h="1" x="24"/>
        <item h="1" x="1344"/>
        <item h="1" x="1040"/>
        <item h="1" x="620"/>
        <item h="1" x="1131"/>
        <item h="1" x="338"/>
        <item h="1" x="1339"/>
        <item h="1" x="759"/>
        <item h="1" x="425"/>
        <item h="1" x="1293"/>
        <item h="1" x="856"/>
        <item h="1" x="932"/>
        <item h="1" x="45"/>
        <item h="1" x="807"/>
        <item h="1" x="375"/>
        <item h="1" x="71"/>
        <item h="1" x="477"/>
        <item h="1" x="1173"/>
        <item h="1" x="536"/>
        <item h="1" x="166"/>
        <item h="1" x="1278"/>
        <item h="1" x="1307"/>
        <item h="1" x="5"/>
        <item h="1" x="1071"/>
        <item h="1" x="169"/>
        <item h="1" x="371"/>
        <item h="1" x="1068"/>
        <item h="1" x="803"/>
        <item h="1" x="178"/>
        <item h="1" x="1189"/>
        <item h="1" x="563"/>
        <item h="1" x="279"/>
        <item h="1" x="612"/>
        <item h="1" x="992"/>
        <item h="1" x="1002"/>
        <item h="1" x="1113"/>
        <item h="1" x="819"/>
        <item h="1" x="774"/>
        <item h="1" x="403"/>
        <item h="1" x="142"/>
        <item h="1" x="263"/>
        <item h="1" x="1063"/>
        <item h="1" x="226"/>
        <item h="1" x="504"/>
        <item h="1" x="945"/>
        <item h="1" x="268"/>
        <item h="1" x="550"/>
        <item h="1" x="778"/>
        <item h="1" x="635"/>
        <item h="1" x="1149"/>
        <item h="1" x="16"/>
        <item h="1" x="1115"/>
        <item h="1" x="282"/>
        <item h="1" x="1057"/>
        <item h="1" x="238"/>
        <item h="1" x="879"/>
        <item h="1" x="154"/>
        <item h="1" x="496"/>
        <item h="1" x="1311"/>
        <item h="1" x="740"/>
        <item h="1" x="1192"/>
        <item h="1" x="66"/>
        <item h="1" x="21"/>
        <item h="1" x="424"/>
        <item h="1" x="38"/>
        <item h="1" x="959"/>
        <item h="1" x="888"/>
        <item h="1" x="592"/>
        <item h="1" x="1138"/>
        <item h="1" x="49"/>
        <item h="1" x="1157"/>
        <item h="1" x="478"/>
        <item h="1" x="380"/>
        <item h="1" x="138"/>
        <item h="1" x="315"/>
        <item h="1" x="4"/>
        <item h="1" x="1139"/>
        <item h="1" x="253"/>
        <item h="1" x="1319"/>
        <item h="1" x="258"/>
        <item h="1" x="824"/>
        <item h="1" x="961"/>
        <item h="1" x="542"/>
        <item h="1" x="871"/>
        <item h="1" x="1082"/>
        <item h="1" x="1120"/>
        <item h="1" x="1177"/>
        <item h="1" x="1230"/>
        <item h="1" x="901"/>
        <item h="1" x="191"/>
        <item h="1" x="946"/>
        <item h="1" x="834"/>
        <item h="1" x="611"/>
        <item h="1" x="1212"/>
        <item h="1" x="793"/>
        <item h="1" x="814"/>
        <item h="1" x="659"/>
        <item h="1" x="463"/>
        <item h="1" x="943"/>
        <item h="1" x="683"/>
        <item h="1" x="968"/>
        <item h="1" x="745"/>
        <item h="1" x="909"/>
        <item h="1" x="984"/>
        <item h="1" x="465"/>
        <item h="1" x="291"/>
        <item h="1" x="179"/>
        <item h="1" x="753"/>
        <item h="1" x="848"/>
        <item h="1" x="326"/>
        <item h="1" x="1180"/>
        <item h="1" x="524"/>
        <item h="1" x="972"/>
        <item h="1" x="235"/>
        <item h="1" x="587"/>
        <item h="1" x="690"/>
        <item h="1" x="1304"/>
        <item h="1" x="436"/>
        <item h="1" x="841"/>
        <item h="1" x="597"/>
        <item h="1" x="419"/>
        <item h="1" x="1340"/>
        <item h="1" x="1221"/>
        <item h="1" x="198"/>
        <item h="1" x="362"/>
        <item h="1" x="557"/>
        <item h="1" x="997"/>
        <item h="1" x="876"/>
        <item h="1" x="520"/>
        <item h="1" x="1247"/>
        <item h="1" x="430"/>
        <item h="1" x="1237"/>
        <item h="1" x="885"/>
        <item h="1" x="1142"/>
        <item h="1" x="704"/>
        <item h="1" x="26"/>
        <item h="1" x="242"/>
        <item h="1" x="176"/>
        <item h="1" x="234"/>
        <item h="1" x="1077"/>
        <item h="1" x="19"/>
        <item h="1" x="738"/>
        <item h="1" x="1227"/>
        <item h="1" x="966"/>
        <item h="1" x="1305"/>
        <item h="1" x="1258"/>
        <item h="1" x="329"/>
        <item h="1" x="1121"/>
        <item h="1" x="1114"/>
        <item h="1" x="261"/>
        <item h="1" x="1175"/>
        <item h="1" x="20"/>
        <item h="1" x="55"/>
        <item h="1" x="717"/>
        <item h="1" x="500"/>
        <item h="1" x="394"/>
        <item h="1" x="777"/>
        <item h="1" x="996"/>
        <item h="1" x="593"/>
        <item h="1" x="431"/>
        <item h="1" x="1065"/>
        <item h="1" x="1025"/>
        <item h="1" x="1187"/>
        <item h="1" x="934"/>
        <item h="1" x="938"/>
        <item h="1" x="1014"/>
        <item h="1" x="1038"/>
        <item h="1" x="470"/>
        <item h="1" x="904"/>
        <item h="1" x="1286"/>
        <item h="1" x="726"/>
        <item h="1" x="1315"/>
        <item h="1" x="816"/>
        <item h="1" x="1197"/>
        <item h="1" x="691"/>
        <item h="1" x="85"/>
        <item h="1" x="52"/>
        <item h="1" x="964"/>
        <item h="1" x="684"/>
        <item h="1" x="636"/>
        <item h="1" x="1101"/>
        <item h="1" x="1184"/>
        <item h="1" x="11"/>
        <item h="1" x="606"/>
        <item h="1" x="378"/>
        <item h="1" x="1044"/>
        <item h="1" x="137"/>
        <item h="1" x="1196"/>
        <item h="1" x="94"/>
        <item h="1" x="703"/>
        <item h="1" x="418"/>
        <item h="1" x="464"/>
        <item h="1" x="699"/>
        <item h="1" x="558"/>
        <item h="1" x="905"/>
        <item h="1" x="610"/>
        <item h="1" x="171"/>
        <item h="1" x="546"/>
        <item h="1" x="369"/>
        <item h="1" x="440"/>
        <item h="1" x="779"/>
        <item h="1" x="948"/>
        <item h="1" x="1018"/>
        <item h="1" x="486"/>
        <item h="1" x="654"/>
        <item h="1" x="196"/>
        <item h="1" x="758"/>
        <item h="1" x="383"/>
        <item h="1" x="73"/>
        <item h="1" x="139"/>
        <item h="1" x="152"/>
        <item h="1" x="1020"/>
        <item h="1" x="788"/>
        <item h="1" x="81"/>
        <item h="1" x="817"/>
        <item h="1" x="1297"/>
        <item h="1" x="548"/>
        <item h="1" x="552"/>
        <item h="1" x="220"/>
        <item h="1" x="547"/>
        <item h="1" x="981"/>
        <item h="1" x="1095"/>
        <item h="1" x="689"/>
        <item h="1" x="555"/>
        <item h="1" x="573"/>
        <item h="1" x="1060"/>
        <item h="1" x="1254"/>
        <item h="1" x="960"/>
        <item h="1" x="1129"/>
        <item h="1" x="596"/>
        <item h="1" x="1348"/>
        <item h="1" x="794"/>
        <item h="1" x="796"/>
        <item h="1" x="72"/>
        <item h="1" x="192"/>
        <item h="1" x="578"/>
        <item h="1" x="1299"/>
        <item h="1" x="867"/>
        <item h="1" x="663"/>
        <item h="1" x="1209"/>
        <item h="1" x="387"/>
        <item h="1" x="180"/>
        <item h="1" x="237"/>
        <item h="1" x="805"/>
        <item h="1" x="312"/>
        <item h="1" x="284"/>
        <item h="1" x="386"/>
        <item h="1" x="870"/>
        <item h="1" x="1132"/>
        <item h="1" x="111"/>
        <item h="1" x="1163"/>
        <item h="1" x="749"/>
        <item h="1" x="385"/>
        <item h="1" x="402"/>
        <item h="1" x="894"/>
        <item h="1" x="623"/>
        <item h="1" x="864"/>
        <item h="1" x="823"/>
        <item h="1" x="825"/>
        <item h="1" x="507"/>
        <item h="1" x="275"/>
        <item h="1" x="398"/>
        <item h="1" x="393"/>
        <item h="1" x="129"/>
        <item h="1" x="44"/>
        <item h="1" x="506"/>
        <item h="1" x="1099"/>
        <item h="1" x="998"/>
        <item h="1" x="991"/>
        <item h="1" x="665"/>
        <item h="1" x="925"/>
        <item h="1" x="735"/>
        <item h="1" x="1300"/>
        <item h="1" x="743"/>
        <item h="1" x="886"/>
        <item h="1" x="912"/>
        <item h="1" x="502"/>
        <item h="1" x="1222"/>
        <item h="1" x="340"/>
        <item h="1" x="903"/>
        <item h="1" x="1062"/>
        <item h="1" x="141"/>
        <item h="1" x="649"/>
        <item h="1" x="503"/>
        <item h="1" x="320"/>
        <item h="1" x="1213"/>
        <item h="1" x="878"/>
        <item h="1" x="453"/>
        <item h="1" x="434"/>
        <item h="1" x="655"/>
        <item h="1" x="1046"/>
        <item h="1" x="927"/>
        <item h="1" x="757"/>
        <item h="1" x="1100"/>
        <item h="1" x="345"/>
        <item h="1" x="127"/>
        <item h="1" x="277"/>
        <item h="1" x="982"/>
        <item h="1" x="632"/>
        <item h="1" x="784"/>
        <item h="1" x="985"/>
        <item h="1" x="1273"/>
        <item h="1" x="1236"/>
        <item h="1" x="603"/>
        <item h="1" x="707"/>
        <item h="1" x="586"/>
        <item h="1" x="1325"/>
        <item h="1" x="1245"/>
        <item h="1" x="1001"/>
        <item h="1" x="439"/>
        <item h="1" x="100"/>
        <item h="1" x="401"/>
        <item h="1" x="302"/>
        <item h="1" x="721"/>
        <item h="1" x="1017"/>
        <item h="1" x="1335"/>
        <item h="1" x="499"/>
        <item h="1" x="1037"/>
        <item h="1" x="446"/>
        <item h="1" x="324"/>
        <item h="1" x="204"/>
        <item h="1" x="1067"/>
        <item h="1" x="1313"/>
        <item h="1" x="884"/>
        <item h="1" x="249"/>
        <item h="1" x="987"/>
        <item h="1" x="274"/>
        <item h="1" x="630"/>
        <item h="1" x="1127"/>
        <item h="1" x="365"/>
        <item h="1" x="132"/>
        <item h="1" x="833"/>
        <item h="1" x="513"/>
        <item h="1" x="119"/>
        <item h="1" x="775"/>
        <item h="1" x="711"/>
        <item h="1" x="1145"/>
        <item h="1" x="829"/>
        <item h="1" x="93"/>
        <item h="1" x="701"/>
        <item h="1" x="170"/>
        <item h="1" x="91"/>
        <item h="1" x="76"/>
        <item h="1" x="1251"/>
        <item h="1" x="1074"/>
        <item h="1" x="314"/>
        <item h="1" x="780"/>
        <item h="1" x="1051"/>
        <item h="1" x="674"/>
        <item h="1" x="416"/>
        <item h="1" x="918"/>
        <item h="1" x="675"/>
        <item h="1" x="1275"/>
        <item h="1" x="534"/>
        <item h="1" x="575"/>
        <item h="1" x="1312"/>
        <item h="1" x="537"/>
        <item h="1" x="77"/>
        <item h="1" x="1"/>
        <item h="1" x="1323"/>
        <item h="1" x="1162"/>
        <item h="1" x="1269"/>
        <item h="1" x="1217"/>
        <item h="1" x="792"/>
        <item h="1" x="582"/>
        <item h="1" x="101"/>
        <item h="1" x="845"/>
        <item h="1" x="600"/>
        <item h="1" x="626"/>
        <item h="1" x="1087"/>
        <item h="1" x="1022"/>
        <item h="1" x="1066"/>
        <item h="1" x="89"/>
        <item h="1" x="304"/>
        <item h="1" x="828"/>
        <item h="1" x="311"/>
        <item h="1" x="615"/>
        <item h="1" x="9"/>
        <item h="1" x="319"/>
        <item h="1" x="255"/>
        <item h="1" x="363"/>
        <item h="1" x="322"/>
        <item h="1" x="355"/>
        <item h="1" x="193"/>
        <item h="1" x="1167"/>
        <item h="1" x="1088"/>
        <item h="1" x="346"/>
        <item h="1" x="983"/>
        <item h="1" x="367"/>
        <item h="1" x="535"/>
        <item h="1" x="1308"/>
        <item h="1" x="567"/>
        <item h="1" x="549"/>
        <item h="1" x="80"/>
        <item h="1" x="1061"/>
        <item h="1" x="447"/>
        <item h="1" x="798"/>
        <item h="1" x="800"/>
        <item h="1" x="1112"/>
        <item h="1" x="917"/>
        <item h="1" x="1111"/>
        <item h="1" x="1283"/>
        <item h="1" x="39"/>
        <item h="1" x="1064"/>
        <item h="1" x="1268"/>
        <item h="1" x="48"/>
        <item h="1" x="1347"/>
        <item h="1" x="508"/>
        <item h="1" x="1260"/>
        <item h="1" x="517"/>
        <item h="1" x="1330"/>
        <item h="1" x="874"/>
        <item h="1" x="276"/>
        <item h="1" x="923"/>
        <item h="1" x="1092"/>
        <item h="1" x="1081"/>
        <item h="1" x="88"/>
        <item h="1" x="50"/>
        <item h="1" x="466"/>
        <item h="1" x="931"/>
        <item h="1" x="1182"/>
        <item h="1" x="1103"/>
        <item h="1" x="698"/>
        <item h="1" x="67"/>
        <item h="1" x="1104"/>
        <item h="1" x="292"/>
        <item h="1" x="299"/>
        <item h="1" x="551"/>
        <item h="1" x="974"/>
        <item h="1" x="1261"/>
        <item h="1" x="680"/>
        <item h="1" x="1102"/>
        <item h="1" x="1253"/>
        <item h="1" x="1193"/>
        <item h="1" x="489"/>
        <item h="1" x="622"/>
        <item h="1" x="452"/>
        <item h="1" x="260"/>
        <item h="1" x="761"/>
        <item h="1" x="147"/>
        <item h="1" x="1288"/>
        <item h="1" x="958"/>
        <item h="1" x="301"/>
        <item h="1" x="295"/>
        <item h="1" x="670"/>
        <item h="1" x="1242"/>
        <item h="1" x="298"/>
        <item h="1" x="1219"/>
        <item h="1" x="1303"/>
        <item h="1" x="473"/>
        <item h="1" x="1337"/>
        <item h="1" x="787"/>
        <item h="1" x="376"/>
        <item h="1" x="785"/>
        <item h="1" x="1264"/>
        <item h="1" x="1079"/>
        <item h="1" x="104"/>
        <item h="1" x="280"/>
        <item h="1" x="1266"/>
        <item h="1" x="1194"/>
        <item h="1" x="990"/>
        <item h="1" x="1073"/>
        <item h="1" x="939"/>
        <item h="1" x="1075"/>
        <item h="1" x="46"/>
        <item h="1" x="316"/>
        <item h="1" x="957"/>
        <item h="1" x="1169"/>
        <item h="1" x="1188"/>
        <item h="1" x="286"/>
        <item h="1" x="658"/>
        <item h="1" x="1085"/>
        <item h="1" x="1028"/>
        <item h="1" x="134"/>
        <item h="1" x="1246"/>
        <item h="1" x="216"/>
        <item h="1" x="56"/>
        <item h="1" x="188"/>
        <item h="1" x="591"/>
        <item h="1" x="215"/>
        <item h="1" x="241"/>
        <item h="1" x="1291"/>
        <item h="1" x="344"/>
        <item h="1" x="554"/>
        <item h="1" x="475"/>
        <item h="1" x="0"/>
        <item h="1" x="1178"/>
        <item h="1" x="337"/>
        <item h="1" x="572"/>
        <item h="1" x="108"/>
        <item h="1" x="1033"/>
        <item h="1" x="399"/>
        <item h="1" x="330"/>
        <item h="1" x="929"/>
        <item h="1" x="908"/>
        <item h="1" x="153"/>
        <item h="1" x="1147"/>
        <item h="1" x="528"/>
        <item h="1" x="118"/>
        <item h="1" x="896"/>
        <item h="1" x="57"/>
        <item h="1" x="121"/>
        <item h="1" x="928"/>
        <item h="1" x="540"/>
        <item h="1" x="595"/>
        <item h="1" x="881"/>
        <item h="1" x="331"/>
        <item h="1" x="70"/>
        <item h="1" x="433"/>
        <item h="1" x="936"/>
        <item h="1" x="642"/>
        <item h="1" x="195"/>
        <item h="1" x="458"/>
        <item h="1" x="543"/>
        <item h="1" x="579"/>
        <item h="1" x="1159"/>
        <item h="1" x="1324"/>
        <item h="1" x="482"/>
        <item h="1" x="1302"/>
        <item h="1" x="602"/>
        <item h="1" x="136"/>
        <item h="1" x="323"/>
        <item h="1" x="922"/>
        <item h="1" x="358"/>
        <item h="1" x="1226"/>
        <item h="1" x="708"/>
        <item h="1" x="1004"/>
        <item h="1" x="529"/>
        <item h="1" x="1031"/>
        <item h="1" x="271"/>
        <item h="1" x="303"/>
        <item h="1" x="1140"/>
        <item h="1" x="243"/>
        <item h="1" x="1030"/>
        <item h="1" x="455"/>
        <item h="1" x="31"/>
        <item h="1" x="1150"/>
        <item h="1" x="806"/>
        <item h="1" x="63"/>
        <item h="1" x="559"/>
        <item h="1" x="267"/>
        <item h="1" x="1204"/>
        <item h="1" x="1141"/>
        <item h="1" x="613"/>
        <item h="1" x="382"/>
        <item h="1" x="361"/>
        <item h="1" x="247"/>
        <item h="1" x="1003"/>
        <item h="1" x="194"/>
        <item h="1" x="126"/>
        <item h="1" x="391"/>
        <item h="1" x="795"/>
        <item h="1" x="437"/>
        <item h="1" x="1256"/>
        <item h="1" x="634"/>
        <item h="1" x="850"/>
        <item h="1" x="541"/>
        <item h="1" x="259"/>
        <item h="1" x="490"/>
        <item h="1" x="979"/>
        <item h="1" x="1334"/>
        <item h="1" x="349"/>
        <item h="1" x="1284"/>
        <item h="1" x="200"/>
        <item h="1" x="889"/>
        <item h="1" x="926"/>
        <item h="1" x="752"/>
        <item h="1" x="212"/>
        <item h="1" x="1329"/>
        <item h="1" x="660"/>
        <item h="1" x="1333"/>
        <item h="1" x="1148"/>
        <item h="1" x="351"/>
        <item h="1" x="347"/>
        <item h="1" x="771"/>
        <item h="1" x="509"/>
        <item h="1" x="1205"/>
        <item h="1" x="197"/>
        <item h="1" x="445"/>
        <item h="1" x="844"/>
        <item h="1" x="1045"/>
        <item h="1" x="27"/>
        <item h="1" x="843"/>
        <item h="1" x="1262"/>
        <item h="1" x="1096"/>
        <item h="1" x="832"/>
        <item h="1" x="1210"/>
        <item h="1" x="710"/>
        <item h="1" x="1199"/>
        <item h="1" x="576"/>
        <item h="1" x="1143"/>
        <item h="1" x="907"/>
        <item h="1" x="296"/>
        <item h="1" x="248"/>
        <item h="1" x="648"/>
        <item h="1" x="662"/>
        <item h="1" x="1218"/>
        <item h="1" x="1116"/>
        <item h="1" x="1109"/>
        <item h="1" x="1013"/>
        <item h="1" x="887"/>
        <item h="1" x="481"/>
        <item h="1" x="747"/>
        <item h="1" x="1160"/>
        <item h="1" x="333"/>
        <item h="1" x="82"/>
        <item h="1" x="669"/>
        <item h="1" x="148"/>
        <item h="1" x="1235"/>
        <item h="1" x="789"/>
        <item h="1" x="767"/>
        <item h="1" x="827"/>
        <item h="1" x="646"/>
        <item h="1" x="438"/>
        <item h="1" x="511"/>
        <item h="1" x="112"/>
        <item h="1" x="1026"/>
        <item h="1" x="969"/>
        <item h="1" x="327"/>
        <item h="1" x="107"/>
        <item h="1" x="448"/>
        <item h="1" x="1292"/>
        <item h="1" x="720"/>
        <item h="1" x="313"/>
        <item h="1" x="949"/>
        <item h="1" x="545"/>
        <item h="1" x="373"/>
        <item h="1" x="510"/>
        <item h="1" x="426"/>
        <item h="1" x="60"/>
        <item h="1" x="201"/>
        <item h="1" x="624"/>
        <item h="1" x="1322"/>
        <item h="1" x="581"/>
        <item h="1" x="765"/>
        <item h="1" x="491"/>
        <item h="1" x="751"/>
        <item h="1" x="772"/>
        <item h="1" x="671"/>
        <item h="1" x="1128"/>
        <item h="1" x="523"/>
        <item h="1" x="1126"/>
        <item h="1" x="672"/>
        <item h="1" x="913"/>
        <item h="1" x="223"/>
        <item h="1" x="1078"/>
        <item h="1" x="395"/>
        <item h="1" x="875"/>
        <item h="1" x="947"/>
        <item h="1" x="1191"/>
        <item h="1" x="1086"/>
        <item h="1" x="290"/>
        <item h="1" x="335"/>
        <item h="1" x="1257"/>
        <item h="1" x="501"/>
        <item h="1" x="1166"/>
        <item h="1" x="130"/>
        <item h="1" x="783"/>
        <item h="1" x="1047"/>
        <item h="1" x="334"/>
        <item h="1" x="1186"/>
        <item h="1" x="1156"/>
        <item h="1" x="1008"/>
        <item h="1" x="855"/>
        <item h="1" x="484"/>
        <item h="1" x="392"/>
        <item h="1" x="727"/>
        <item h="1" x="412"/>
        <item h="1" x="892"/>
        <item h="1" x="977"/>
        <item h="1" x="207"/>
        <item h="1" x="902"/>
        <item h="1" x="1164"/>
        <item h="1" x="1224"/>
        <item h="1" x="1010"/>
        <item h="1" x="994"/>
        <item h="1" x="505"/>
        <item h="1" x="1281"/>
        <item h="1" x="1306"/>
        <item h="1" x="135"/>
        <item h="1" x="165"/>
        <item h="1" x="737"/>
        <item h="1" x="42"/>
        <item h="1" x="763"/>
        <item h="1" x="224"/>
        <item h="1" x="518"/>
        <item h="1" x="741"/>
        <item h="1" x="451"/>
        <item h="1" x="1332"/>
        <item h="1" x="493"/>
        <item h="1" x="1048"/>
        <item h="1" x="731"/>
        <item h="1" x="214"/>
        <item h="1" x="1203"/>
        <item h="1" x="1331"/>
        <item h="1" x="317"/>
        <item h="1" x="821"/>
        <item h="1" x="151"/>
        <item h="1" x="54"/>
        <item h="1" x="421"/>
        <item h="1" x="891"/>
        <item h="1" x="965"/>
        <item h="1" x="128"/>
        <item h="1" x="1130"/>
        <item h="1" x="1034"/>
        <item h="1" x="952"/>
        <item h="1" x="356"/>
        <item h="1" x="944"/>
        <item h="1" x="973"/>
        <item h="1" x="205"/>
        <item h="1" x="164"/>
        <item h="1" x="488"/>
        <item h="1" x="160"/>
        <item h="1" x="1123"/>
        <item h="1" x="8"/>
        <item h="1" x="184"/>
        <item h="1" x="748"/>
        <item h="1" x="468"/>
        <item h="1" x="1151"/>
        <item h="1" x="297"/>
        <item h="1" x="86"/>
        <item h="1" x="1211"/>
        <item h="1" x="1201"/>
        <item h="1" x="1287"/>
        <item h="1" x="350"/>
        <item h="1" x="653"/>
        <item h="1" x="1243"/>
        <item h="1" x="1032"/>
        <item h="1" x="1019"/>
        <item h="1" x="64"/>
        <item h="1" x="718"/>
        <item h="1" x="114"/>
        <item h="1" x="1153"/>
        <item h="1" x="427"/>
        <item h="1" x="895"/>
        <item h="1" x="1267"/>
        <item h="1" x="51"/>
        <item h="1" x="1280"/>
        <item h="1" x="1228"/>
        <item h="1" x="1043"/>
        <item h="1" x="1343"/>
        <item h="1" x="428"/>
        <item h="1" x="739"/>
        <item h="1" x="15"/>
        <item h="1" x="208"/>
        <item h="1" x="325"/>
        <item h="1" x="1346"/>
        <item h="1" x="933"/>
        <item h="1" x="910"/>
        <item h="1" x="244"/>
        <item h="1" x="61"/>
        <item h="1" x="1021"/>
        <item h="1" x="1036"/>
        <item h="1" x="993"/>
        <item h="1" x="585"/>
        <item h="1" x="873"/>
        <item h="1" x="79"/>
        <item h="1" x="28"/>
        <item h="1" x="830"/>
        <item h="1" x="415"/>
        <item h="1" x="797"/>
        <item h="1" x="1076"/>
        <item h="1" x="123"/>
        <item h="1" x="742"/>
        <item h="1" x="661"/>
        <item h="1" x="1208"/>
        <item h="1" x="1146"/>
        <item h="1" x="836"/>
        <item h="1" x="694"/>
        <item h="1" x="206"/>
        <item h="1" x="1317"/>
        <item h="1" x="1072"/>
        <item h="1" x="762"/>
        <item h="1" x="1200"/>
        <item h="1" x="1289"/>
        <item h="1" x="174"/>
        <item h="1" x="988"/>
        <item h="1" x="514"/>
        <item h="1" x="746"/>
        <item h="1" x="357"/>
        <item h="1" x="838"/>
        <item h="1" x="866"/>
        <item h="1" x="449"/>
        <item h="1" x="644"/>
        <item h="1" x="930"/>
        <item h="1" x="219"/>
        <item h="1" x="422"/>
        <item h="1" x="133"/>
        <item h="1" x="90"/>
        <item h="1" x="607"/>
        <item h="1" x="730"/>
        <item h="1" x="492"/>
        <item h="1" x="693"/>
        <item h="1" x="1133"/>
        <item h="1" x="599"/>
        <item h="1" x="967"/>
        <item h="1" x="733"/>
        <item h="1" x="768"/>
        <item h="1" x="688"/>
        <item h="1" x="970"/>
        <item h="1" x="1341"/>
        <item h="1" x="155"/>
        <item h="1" x="715"/>
        <item h="1" x="1122"/>
        <item h="1" x="619"/>
        <item h="1" x="935"/>
        <item h="1" x="444"/>
        <item h="1" x="598"/>
        <item h="1" x="245"/>
        <item h="1" x="364"/>
        <item h="1" x="744"/>
        <item h="1" x="700"/>
        <item h="1" x="1298"/>
        <item h="1" x="530"/>
        <item h="1" x="512"/>
        <item h="1" x="1005"/>
        <item h="1" x="1056"/>
        <item h="1" x="695"/>
        <item h="1" x="332"/>
        <item h="1" x="442"/>
        <item h="1" x="113"/>
        <item h="1" x="566"/>
        <item h="1" x="522"/>
        <item h="1" x="618"/>
        <item h="1" x="265"/>
        <item h="1" x="306"/>
        <item h="1" x="719"/>
        <item h="1" x="893"/>
        <item h="1" x="409"/>
        <item h="1" x="1309"/>
        <item h="1" x="22"/>
        <item h="1" x="270"/>
        <item h="1" x="1342"/>
        <item h="1" x="300"/>
        <item h="1" x="769"/>
        <item h="1" x="218"/>
        <item h="1" x="209"/>
        <item h="1" x="343"/>
        <item h="1" x="702"/>
        <item h="1" x="584"/>
        <item h="1" x="1135"/>
        <item h="1" x="1176"/>
        <item h="1" x="1183"/>
        <item h="1" x="776"/>
        <item h="1" x="915"/>
        <item h="1" x="835"/>
        <item h="1" x="673"/>
        <item h="1" x="1316"/>
        <item h="1" x="390"/>
        <item h="1" x="1229"/>
        <item h="1" x="435"/>
        <item h="1" x="74"/>
        <item h="1" x="937"/>
        <item h="1" x="1090"/>
        <item h="1" x="713"/>
        <item h="1" x="1296"/>
        <item h="1" x="1255"/>
        <item h="1" x="920"/>
        <item h="1" x="53"/>
        <item h="1" x="1190"/>
        <item h="1" x="262"/>
        <item h="1" x="790"/>
        <item h="1" x="87"/>
        <item h="1" x="288"/>
        <item h="1" x="92"/>
        <item h="1" x="1328"/>
        <item h="1" x="861"/>
        <item h="1" x="650"/>
        <item h="1" x="211"/>
        <item h="1" x="269"/>
        <item h="1" x="423"/>
        <item h="1" x="75"/>
        <item h="1" x="240"/>
        <item h="1" x="919"/>
        <item h="1" x="706"/>
        <item h="1" x="185"/>
        <item h="1" x="1318"/>
        <item h="1" x="976"/>
        <item h="1" x="791"/>
        <item h="1" x="525"/>
        <item h="1" x="601"/>
        <item h="1" x="95"/>
        <item h="1" x="309"/>
        <item h="1" x="1094"/>
        <item h="1" x="686"/>
        <item h="1" x="906"/>
        <item h="1" x="413"/>
        <item h="1" x="621"/>
        <item h="1" x="379"/>
        <item h="1" x="1015"/>
        <item h="1" x="951"/>
        <item h="1" x="62"/>
        <item h="1" x="515"/>
        <item h="1" x="668"/>
        <item h="1" x="1080"/>
        <item h="1" x="1108"/>
        <item h="1" x="474"/>
        <item h="1" x="18"/>
        <item h="1" x="1214"/>
        <item h="1" x="1107"/>
        <item h="1" x="339"/>
        <item h="1" x="293"/>
        <item h="1" x="1006"/>
        <item h="1" x="231"/>
        <item h="1" x="852"/>
        <item h="1" x="441"/>
        <item h="1" x="1206"/>
        <item h="1" x="590"/>
        <item h="1" x="1007"/>
        <item h="1" x="1089"/>
        <item h="1" x="954"/>
        <item h="1" x="1023"/>
        <item h="1" x="397"/>
        <item h="1" x="450"/>
        <item h="1" x="978"/>
        <item h="1" x="1009"/>
        <item h="1" x="471"/>
        <item h="1" x="368"/>
        <item h="1" x="1137"/>
        <item h="1" x="568"/>
        <item h="1" x="732"/>
        <item h="1" x="190"/>
        <item h="1" x="941"/>
        <item h="1" x="1248"/>
        <item h="1" x="432"/>
        <item h="1" x="538"/>
        <item h="1" x="257"/>
        <item h="1" x="890"/>
        <item h="1" x="760"/>
        <item h="1" x="116"/>
        <item h="1" x="989"/>
        <item h="1" x="414"/>
        <item h="1" x="812"/>
        <item h="1" x="307"/>
        <item h="1" x="666"/>
        <item h="1" x="883"/>
        <item h="1" x="583"/>
        <item h="1" x="963"/>
        <item h="1" x="1250"/>
        <item h="1" x="144"/>
        <item h="1" x="109"/>
        <item h="1" x="679"/>
        <item h="1" x="1097"/>
        <item h="1" x="677"/>
        <item h="1" x="766"/>
        <item h="1" x="1053"/>
        <item h="1" x="273"/>
        <item h="1" x="1098"/>
        <item h="1" x="564"/>
        <item h="1" x="716"/>
        <item h="1" x="755"/>
        <item h="1" x="842"/>
        <item h="1" x="818"/>
        <item h="1" x="417"/>
        <item h="1" x="1271"/>
        <item h="1" x="625"/>
        <item h="1" x="406"/>
        <item h="1" x="882"/>
        <item h="1" x="103"/>
        <item h="1" x="460"/>
        <item h="1" x="854"/>
        <item h="1" x="851"/>
        <item h="1" x="321"/>
        <item h="1" x="705"/>
        <item h="1" x="560"/>
        <item h="1" x="809"/>
        <item h="1" x="283"/>
        <item h="1" x="847"/>
        <item h="1" x="183"/>
        <item h="1" x="59"/>
        <item h="1" x="863"/>
        <item h="1" x="860"/>
        <item h="1" x="102"/>
        <item h="1" x="1326"/>
        <item h="1" x="29"/>
        <item h="1" x="182"/>
        <item h="1" x="1172"/>
        <item h="1" x="264"/>
        <item h="1" x="1058"/>
        <item h="1" x="233"/>
        <item h="1" x="820"/>
        <item h="1" x="25"/>
        <item h="1" x="516"/>
        <item h="1" x="272"/>
        <item h="1" x="1274"/>
        <item h="1" x="899"/>
        <item h="1" x="519"/>
        <item h="1" x="869"/>
        <item h="1" x="389"/>
        <item h="1" x="239"/>
        <item h="1" x="227"/>
        <item h="1" x="725"/>
        <item h="1" x="570"/>
        <item h="1" x="318"/>
        <item h="1" x="1185"/>
        <item h="1" x="1049"/>
        <item h="1" x="1232"/>
        <item h="1" x="381"/>
        <item h="1" x="681"/>
        <item h="1" x="1320"/>
        <item h="1" x="251"/>
        <item h="1" x="456"/>
        <item h="1" x="479"/>
        <item h="1" x="229"/>
        <item h="1" x="120"/>
        <item h="1" x="43"/>
        <item h="1" x="400"/>
        <item h="1" x="1041"/>
        <item h="1" x="1050"/>
        <item h="1" x="770"/>
        <item h="1" x="729"/>
        <item h="1" x="1294"/>
        <item h="1" x="1070"/>
        <item h="1" x="1233"/>
        <item h="1" x="950"/>
        <item h="1" x="900"/>
        <item h="1" x="846"/>
        <item h="1" x="1152"/>
        <item h="1" x="712"/>
        <item h="1" x="865"/>
        <item h="1" x="544"/>
        <item h="1" x="162"/>
        <item h="1" x="802"/>
        <item h="1" x="709"/>
        <item h="1"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6"/>
    <field x="1"/>
  </rowFields>
  <rowItems count="3">
    <i>
      <x/>
    </i>
    <i r="1">
      <x v="1"/>
    </i>
    <i t="grand">
      <x/>
    </i>
  </rowItems>
  <colFields count="1">
    <field x="-2"/>
  </colFields>
  <colItems count="2">
    <i>
      <x/>
    </i>
    <i i="1">
      <x v="1"/>
    </i>
  </colItems>
  <dataFields count="2">
    <dataField name="Count of Attrition" fld="1" subtotal="count" baseField="0" baseItem="0"/>
    <dataField name="Count of Attrition2" fld="1" subtotal="count" baseField="1" baseItem="1" numFmtId="10">
      <extLst>
        <ext xmlns:x14="http://schemas.microsoft.com/office/spreadsheetml/2009/9/main" uri="{E15A36E0-9728-4e99-A89B-3F7291B0FE68}">
          <x14:dataField pivotShowAs="percentOfParentRow"/>
        </ext>
      </extLst>
    </dataField>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26D7B-2C22-4B1C-B8B8-3AFAEDF8E2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36">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50">
        <item h="1" x="495"/>
        <item h="1" x="692"/>
        <item h="1" x="723"/>
        <item h="1" x="1240"/>
        <item h="1" x="1263"/>
        <item h="1" x="173"/>
        <item h="1" x="858"/>
        <item h="1" x="1295"/>
        <item h="1" x="294"/>
        <item h="1" x="857"/>
        <item h="1" x="23"/>
        <item h="1" x="955"/>
        <item h="1" x="986"/>
        <item h="1" x="497"/>
        <item h="1" x="953"/>
        <item h="1" x="1118"/>
        <item h="1" x="734"/>
        <item h="1" x="289"/>
        <item h="1" x="146"/>
        <item h="1" x="1215"/>
        <item h="1" x="1134"/>
        <item h="1" x="1000"/>
        <item h="1" x="1069"/>
        <item x="561"/>
        <item h="1" x="916"/>
        <item h="1" x="124"/>
        <item h="1" x="405"/>
        <item h="1" x="589"/>
        <item h="1" x="1321"/>
        <item h="1" x="840"/>
        <item h="1" x="443"/>
        <item h="1" x="782"/>
        <item h="1" x="40"/>
        <item h="1" x="1338"/>
        <item h="1" x="728"/>
        <item h="1" x="641"/>
        <item h="1" x="839"/>
        <item h="1" x="1093"/>
        <item h="1" x="37"/>
        <item h="1" x="1012"/>
        <item h="1" x="608"/>
        <item h="1" x="158"/>
        <item h="1" x="14"/>
        <item h="1" x="921"/>
        <item h="1" x="462"/>
        <item h="1" x="96"/>
        <item h="1" x="633"/>
        <item h="1" x="494"/>
        <item h="1" x="213"/>
        <item h="1" x="1042"/>
        <item h="1" x="1244"/>
        <item h="1" x="995"/>
        <item h="1" x="962"/>
        <item h="1" x="266"/>
        <item h="1" x="97"/>
        <item h="1" x="1035"/>
        <item h="1" x="84"/>
        <item h="1" x="880"/>
        <item h="1" x="483"/>
        <item h="1" x="33"/>
        <item h="1" x="168"/>
        <item h="1" x="189"/>
        <item h="1" x="2"/>
        <item h="1" x="429"/>
        <item h="1" x="461"/>
        <item h="1" x="408"/>
        <item h="1" x="956"/>
        <item h="1" x="1223"/>
        <item h="1" x="815"/>
        <item h="1" x="971"/>
        <item h="1" x="278"/>
        <item h="1" x="328"/>
        <item h="1" x="657"/>
        <item h="1" x="459"/>
        <item h="1" x="685"/>
        <item h="1" x="1270"/>
        <item h="1" x="1059"/>
        <item h="1" x="574"/>
        <item h="1" x="1277"/>
        <item h="1" x="1154"/>
        <item h="1" x="1202"/>
        <item h="1" x="203"/>
        <item h="1" x="868"/>
        <item h="1" x="664"/>
        <item h="1" x="1084"/>
        <item h="1" x="810"/>
        <item h="1" x="348"/>
        <item h="1" x="256"/>
        <item h="1" x="221"/>
        <item h="1" x="1155"/>
        <item h="1" x="467"/>
        <item h="1" x="65"/>
        <item h="1" x="360"/>
        <item h="1" x="32"/>
        <item h="1" x="750"/>
        <item h="1" x="822"/>
        <item h="1" x="352"/>
        <item h="1" x="521"/>
        <item h="1" x="388"/>
        <item h="1" x="722"/>
        <item h="1" x="1265"/>
        <item h="1" x="156"/>
        <item h="1" x="236"/>
        <item h="1" x="837"/>
        <item h="1" x="145"/>
        <item h="1" x="372"/>
        <item h="1" x="384"/>
        <item h="1" x="647"/>
        <item h="1" x="228"/>
        <item h="1" x="47"/>
        <item h="1" x="678"/>
        <item h="1" x="1011"/>
        <item h="1" x="577"/>
        <item h="1" x="1125"/>
        <item h="1" x="627"/>
        <item h="1" x="187"/>
        <item h="1" x="374"/>
        <item h="1" x="175"/>
        <item h="1" x="1174"/>
        <item h="1" x="813"/>
        <item h="1" x="34"/>
        <item h="1" x="1024"/>
        <item h="1" x="532"/>
        <item h="1" x="897"/>
        <item h="1" x="1136"/>
        <item h="1" x="149"/>
        <item h="1" x="1252"/>
        <item h="1" x="1016"/>
        <item h="1" x="177"/>
        <item h="1" x="754"/>
        <item h="1" x="609"/>
        <item h="1" x="640"/>
        <item h="1" x="565"/>
        <item h="1" x="676"/>
        <item h="1" x="83"/>
        <item h="1" x="157"/>
        <item h="1" x="167"/>
        <item h="1" x="287"/>
        <item h="1" x="202"/>
        <item h="1" x="645"/>
        <item h="1" x="651"/>
        <item h="1" x="1216"/>
        <item h="1" x="1327"/>
        <item h="1" x="246"/>
        <item h="1" x="41"/>
        <item h="1" x="531"/>
        <item h="1" x="980"/>
        <item h="1" x="150"/>
        <item h="1" x="404"/>
        <item h="1" x="616"/>
        <item h="1" x="898"/>
        <item h="1" x="588"/>
        <item h="1" x="1039"/>
        <item h="1" x="122"/>
        <item h="1" x="342"/>
        <item h="1" x="872"/>
        <item h="1" x="281"/>
        <item h="1" x="799"/>
        <item h="1" x="638"/>
        <item h="1" x="1220"/>
        <item h="1" x="631"/>
        <item h="1" x="911"/>
        <item h="1" x="225"/>
        <item h="1" x="940"/>
        <item h="1" x="1181"/>
        <item h="1" x="454"/>
        <item h="1" x="639"/>
        <item h="1" x="58"/>
        <item h="1" x="1054"/>
        <item h="1" x="652"/>
        <item h="1" x="697"/>
        <item h="1" x="10"/>
        <item h="1" x="1027"/>
        <item h="1" x="1272"/>
        <item h="1" x="230"/>
        <item h="1" x="1170"/>
        <item h="1" x="1198"/>
        <item h="1" x="1234"/>
        <item h="1" x="1106"/>
        <item h="1" x="533"/>
        <item h="1" x="163"/>
        <item h="1" x="308"/>
        <item h="1" x="736"/>
        <item h="1" x="1165"/>
        <item h="1" x="1241"/>
        <item h="1" x="370"/>
        <item h="1" x="310"/>
        <item h="1" x="667"/>
        <item h="1" x="30"/>
        <item h="1" x="172"/>
        <item h="1" x="69"/>
        <item h="1" x="571"/>
        <item h="1" x="764"/>
        <item h="1" x="605"/>
        <item h="1" x="849"/>
        <item h="1" x="656"/>
        <item h="1" x="125"/>
        <item h="1" x="629"/>
        <item h="1" x="914"/>
        <item h="1" x="786"/>
        <item h="1" x="366"/>
        <item h="1" x="1259"/>
        <item h="1" x="410"/>
        <item h="1" x="804"/>
        <item h="1" x="580"/>
        <item h="1" x="594"/>
        <item h="1" x="999"/>
        <item h="1" x="411"/>
        <item h="1" x="161"/>
        <item h="1" x="1119"/>
        <item h="1" x="1345"/>
        <item h="1" x="556"/>
        <item h="1" x="377"/>
        <item h="1" x="476"/>
        <item h="1" x="1083"/>
        <item h="1" x="853"/>
        <item h="1" x="1105"/>
        <item h="1" x="1195"/>
        <item h="1" x="250"/>
        <item h="1" x="756"/>
        <item h="1" x="696"/>
        <item h="1" x="353"/>
        <item h="1" x="117"/>
        <item h="1" x="472"/>
        <item h="1" x="217"/>
        <item h="1" x="862"/>
        <item h="1" x="140"/>
        <item h="1" x="526"/>
        <item h="1" x="1029"/>
        <item h="1" x="35"/>
        <item h="1" x="1301"/>
        <item h="1" x="396"/>
        <item h="1" x="1117"/>
        <item h="1" x="210"/>
        <item h="1" x="487"/>
        <item h="1" x="1310"/>
        <item h="1" x="13"/>
        <item h="1" x="1238"/>
        <item h="1" x="6"/>
        <item h="1" x="826"/>
        <item h="1" x="1179"/>
        <item h="1" x="36"/>
        <item h="1" x="687"/>
        <item h="1" x="539"/>
        <item h="1" x="1052"/>
        <item h="1" x="485"/>
        <item h="1" x="7"/>
        <item h="1" x="562"/>
        <item h="1" x="305"/>
        <item h="1" x="341"/>
        <item h="1" x="569"/>
        <item h="1" x="68"/>
        <item h="1" x="1207"/>
        <item h="1" x="1225"/>
        <item h="1" x="232"/>
        <item h="1" x="159"/>
        <item h="1" x="359"/>
        <item h="1" x="1168"/>
        <item h="1" x="143"/>
        <item h="1" x="252"/>
        <item h="1" x="457"/>
        <item h="1" x="1110"/>
        <item h="1" x="199"/>
        <item h="1" x="975"/>
        <item h="1" x="714"/>
        <item h="1" x="181"/>
        <item h="1" x="527"/>
        <item h="1" x="1158"/>
        <item h="1" x="1171"/>
        <item h="1" x="420"/>
        <item h="1" x="480"/>
        <item h="1" x="110"/>
        <item h="1" x="637"/>
        <item h="1" x="831"/>
        <item h="1" x="553"/>
        <item h="1" x="1091"/>
        <item h="1" x="924"/>
        <item h="1" x="285"/>
        <item h="1" x="773"/>
        <item h="1" x="222"/>
        <item h="1" x="254"/>
        <item h="1" x="628"/>
        <item h="1" x="643"/>
        <item h="1" x="617"/>
        <item h="1" x="1231"/>
        <item h="1" x="1336"/>
        <item h="1" x="1279"/>
        <item h="1" x="682"/>
        <item h="1" x="1055"/>
        <item h="1" x="604"/>
        <item h="1" x="498"/>
        <item h="1" x="724"/>
        <item h="1" x="801"/>
        <item h="1" x="115"/>
        <item h="1" x="469"/>
        <item h="1" x="1314"/>
        <item h="1" x="877"/>
        <item h="1" x="781"/>
        <item h="1" x="354"/>
        <item h="1" x="811"/>
        <item h="1" x="1239"/>
        <item h="1" x="1285"/>
        <item h="1" x="78"/>
        <item h="1" x="1144"/>
        <item h="1" x="1276"/>
        <item h="1" x="1282"/>
        <item h="1" x="106"/>
        <item h="1" x="859"/>
        <item h="1" x="407"/>
        <item h="1" x="105"/>
        <item h="1" x="1290"/>
        <item h="1" x="614"/>
        <item h="1" x="336"/>
        <item h="1" x="3"/>
        <item h="1" x="12"/>
        <item h="1" x="99"/>
        <item h="1" x="1124"/>
        <item h="1" x="1161"/>
        <item h="1" x="1249"/>
        <item h="1" x="17"/>
        <item h="1" x="808"/>
        <item h="1" x="131"/>
        <item h="1" x="942"/>
        <item h="1" x="98"/>
        <item h="1" x="24"/>
        <item h="1" x="1344"/>
        <item h="1" x="1040"/>
        <item h="1" x="620"/>
        <item h="1" x="1131"/>
        <item h="1" x="338"/>
        <item h="1" x="1339"/>
        <item h="1" x="759"/>
        <item h="1" x="425"/>
        <item h="1" x="1293"/>
        <item h="1" x="856"/>
        <item h="1" x="932"/>
        <item h="1" x="45"/>
        <item h="1" x="807"/>
        <item h="1" x="375"/>
        <item h="1" x="71"/>
        <item h="1" x="477"/>
        <item h="1" x="1173"/>
        <item h="1" x="536"/>
        <item h="1" x="166"/>
        <item h="1" x="1278"/>
        <item h="1" x="1307"/>
        <item h="1" x="5"/>
        <item h="1" x="1071"/>
        <item h="1" x="169"/>
        <item h="1" x="371"/>
        <item h="1" x="1068"/>
        <item h="1" x="803"/>
        <item h="1" x="178"/>
        <item h="1" x="1189"/>
        <item h="1" x="563"/>
        <item h="1" x="279"/>
        <item h="1" x="612"/>
        <item h="1" x="992"/>
        <item h="1" x="1002"/>
        <item h="1" x="1113"/>
        <item h="1" x="819"/>
        <item h="1" x="774"/>
        <item h="1" x="403"/>
        <item h="1" x="142"/>
        <item h="1" x="263"/>
        <item h="1" x="1063"/>
        <item h="1" x="226"/>
        <item h="1" x="504"/>
        <item h="1" x="945"/>
        <item h="1" x="268"/>
        <item h="1" x="550"/>
        <item h="1" x="778"/>
        <item h="1" x="635"/>
        <item h="1" x="1149"/>
        <item h="1" x="16"/>
        <item h="1" x="1115"/>
        <item h="1" x="282"/>
        <item h="1" x="1057"/>
        <item h="1" x="238"/>
        <item h="1" x="879"/>
        <item h="1" x="154"/>
        <item h="1" x="496"/>
        <item h="1" x="1311"/>
        <item h="1" x="740"/>
        <item h="1" x="1192"/>
        <item h="1" x="66"/>
        <item h="1" x="21"/>
        <item h="1" x="424"/>
        <item h="1" x="38"/>
        <item h="1" x="959"/>
        <item h="1" x="888"/>
        <item h="1" x="592"/>
        <item h="1" x="1138"/>
        <item h="1" x="49"/>
        <item h="1" x="1157"/>
        <item h="1" x="478"/>
        <item h="1" x="380"/>
        <item h="1" x="138"/>
        <item h="1" x="315"/>
        <item h="1" x="4"/>
        <item h="1" x="1139"/>
        <item h="1" x="253"/>
        <item h="1" x="1319"/>
        <item h="1" x="258"/>
        <item h="1" x="824"/>
        <item h="1" x="961"/>
        <item h="1" x="542"/>
        <item h="1" x="871"/>
        <item h="1" x="1082"/>
        <item h="1" x="1120"/>
        <item h="1" x="1177"/>
        <item h="1" x="1230"/>
        <item h="1" x="901"/>
        <item h="1" x="191"/>
        <item h="1" x="946"/>
        <item h="1" x="834"/>
        <item h="1" x="611"/>
        <item h="1" x="1212"/>
        <item h="1" x="793"/>
        <item h="1" x="814"/>
        <item h="1" x="659"/>
        <item h="1" x="463"/>
        <item h="1" x="943"/>
        <item h="1" x="683"/>
        <item h="1" x="968"/>
        <item h="1" x="745"/>
        <item h="1" x="909"/>
        <item h="1" x="984"/>
        <item h="1" x="465"/>
        <item h="1" x="291"/>
        <item h="1" x="179"/>
        <item h="1" x="753"/>
        <item h="1" x="848"/>
        <item h="1" x="326"/>
        <item h="1" x="1180"/>
        <item h="1" x="524"/>
        <item h="1" x="972"/>
        <item h="1" x="235"/>
        <item h="1" x="587"/>
        <item h="1" x="690"/>
        <item h="1" x="1304"/>
        <item h="1" x="436"/>
        <item h="1" x="841"/>
        <item h="1" x="597"/>
        <item h="1" x="419"/>
        <item h="1" x="1340"/>
        <item h="1" x="1221"/>
        <item h="1" x="198"/>
        <item h="1" x="362"/>
        <item h="1" x="557"/>
        <item h="1" x="997"/>
        <item h="1" x="876"/>
        <item h="1" x="520"/>
        <item h="1" x="1247"/>
        <item h="1" x="430"/>
        <item h="1" x="1237"/>
        <item h="1" x="885"/>
        <item h="1" x="1142"/>
        <item h="1" x="704"/>
        <item h="1" x="26"/>
        <item h="1" x="242"/>
        <item h="1" x="176"/>
        <item h="1" x="234"/>
        <item h="1" x="1077"/>
        <item h="1" x="19"/>
        <item h="1" x="738"/>
        <item h="1" x="1227"/>
        <item h="1" x="966"/>
        <item h="1" x="1305"/>
        <item h="1" x="1258"/>
        <item h="1" x="329"/>
        <item h="1" x="1121"/>
        <item h="1" x="1114"/>
        <item h="1" x="261"/>
        <item h="1" x="1175"/>
        <item h="1" x="20"/>
        <item h="1" x="55"/>
        <item h="1" x="717"/>
        <item h="1" x="500"/>
        <item h="1" x="394"/>
        <item h="1" x="777"/>
        <item h="1" x="996"/>
        <item h="1" x="593"/>
        <item h="1" x="431"/>
        <item h="1" x="1065"/>
        <item h="1" x="1025"/>
        <item h="1" x="1187"/>
        <item h="1" x="934"/>
        <item h="1" x="938"/>
        <item h="1" x="1014"/>
        <item h="1" x="1038"/>
        <item h="1" x="470"/>
        <item h="1" x="904"/>
        <item h="1" x="1286"/>
        <item h="1" x="726"/>
        <item h="1" x="1315"/>
        <item h="1" x="816"/>
        <item h="1" x="1197"/>
        <item h="1" x="691"/>
        <item h="1" x="85"/>
        <item h="1" x="52"/>
        <item h="1" x="964"/>
        <item h="1" x="684"/>
        <item h="1" x="636"/>
        <item h="1" x="1101"/>
        <item h="1" x="1184"/>
        <item h="1" x="11"/>
        <item h="1" x="606"/>
        <item h="1" x="378"/>
        <item h="1" x="1044"/>
        <item h="1" x="137"/>
        <item h="1" x="1196"/>
        <item h="1" x="94"/>
        <item h="1" x="703"/>
        <item h="1" x="418"/>
        <item h="1" x="464"/>
        <item h="1" x="699"/>
        <item h="1" x="558"/>
        <item h="1" x="905"/>
        <item h="1" x="610"/>
        <item h="1" x="171"/>
        <item h="1" x="546"/>
        <item h="1" x="369"/>
        <item h="1" x="440"/>
        <item h="1" x="779"/>
        <item h="1" x="948"/>
        <item h="1" x="1018"/>
        <item h="1" x="486"/>
        <item h="1" x="654"/>
        <item h="1" x="196"/>
        <item h="1" x="758"/>
        <item h="1" x="383"/>
        <item h="1" x="73"/>
        <item h="1" x="139"/>
        <item h="1" x="152"/>
        <item h="1" x="1020"/>
        <item h="1" x="788"/>
        <item h="1" x="81"/>
        <item h="1" x="817"/>
        <item h="1" x="1297"/>
        <item h="1" x="548"/>
        <item h="1" x="552"/>
        <item h="1" x="220"/>
        <item h="1" x="547"/>
        <item h="1" x="981"/>
        <item h="1" x="1095"/>
        <item h="1" x="689"/>
        <item h="1" x="555"/>
        <item h="1" x="573"/>
        <item h="1" x="1060"/>
        <item h="1" x="1254"/>
        <item h="1" x="960"/>
        <item h="1" x="1129"/>
        <item h="1" x="596"/>
        <item h="1" x="1348"/>
        <item h="1" x="794"/>
        <item h="1" x="796"/>
        <item h="1" x="72"/>
        <item h="1" x="192"/>
        <item h="1" x="578"/>
        <item h="1" x="1299"/>
        <item h="1" x="867"/>
        <item h="1" x="663"/>
        <item h="1" x="1209"/>
        <item h="1" x="387"/>
        <item h="1" x="180"/>
        <item h="1" x="237"/>
        <item h="1" x="805"/>
        <item h="1" x="312"/>
        <item h="1" x="284"/>
        <item h="1" x="386"/>
        <item h="1" x="870"/>
        <item h="1" x="1132"/>
        <item h="1" x="111"/>
        <item h="1" x="1163"/>
        <item h="1" x="749"/>
        <item h="1" x="385"/>
        <item h="1" x="402"/>
        <item h="1" x="894"/>
        <item h="1" x="623"/>
        <item h="1" x="864"/>
        <item h="1" x="823"/>
        <item h="1" x="825"/>
        <item h="1" x="507"/>
        <item h="1" x="275"/>
        <item h="1" x="398"/>
        <item h="1" x="393"/>
        <item h="1" x="129"/>
        <item h="1" x="44"/>
        <item h="1" x="506"/>
        <item h="1" x="1099"/>
        <item h="1" x="998"/>
        <item h="1" x="991"/>
        <item h="1" x="665"/>
        <item h="1" x="925"/>
        <item h="1" x="735"/>
        <item h="1" x="1300"/>
        <item h="1" x="743"/>
        <item h="1" x="886"/>
        <item h="1" x="912"/>
        <item h="1" x="502"/>
        <item h="1" x="1222"/>
        <item h="1" x="340"/>
        <item h="1" x="903"/>
        <item h="1" x="1062"/>
        <item h="1" x="141"/>
        <item h="1" x="649"/>
        <item h="1" x="503"/>
        <item h="1" x="320"/>
        <item h="1" x="1213"/>
        <item h="1" x="878"/>
        <item h="1" x="453"/>
        <item h="1" x="434"/>
        <item h="1" x="655"/>
        <item h="1" x="1046"/>
        <item h="1" x="927"/>
        <item h="1" x="757"/>
        <item h="1" x="1100"/>
        <item h="1" x="345"/>
        <item h="1" x="127"/>
        <item h="1" x="277"/>
        <item h="1" x="982"/>
        <item h="1" x="632"/>
        <item h="1" x="784"/>
        <item h="1" x="985"/>
        <item h="1" x="1273"/>
        <item h="1" x="1236"/>
        <item h="1" x="603"/>
        <item h="1" x="707"/>
        <item h="1" x="586"/>
        <item h="1" x="1325"/>
        <item h="1" x="1245"/>
        <item h="1" x="1001"/>
        <item h="1" x="439"/>
        <item h="1" x="100"/>
        <item h="1" x="401"/>
        <item h="1" x="302"/>
        <item h="1" x="721"/>
        <item h="1" x="1017"/>
        <item h="1" x="1335"/>
        <item h="1" x="499"/>
        <item h="1" x="1037"/>
        <item h="1" x="446"/>
        <item h="1" x="324"/>
        <item h="1" x="204"/>
        <item h="1" x="1067"/>
        <item h="1" x="1313"/>
        <item h="1" x="884"/>
        <item h="1" x="249"/>
        <item h="1" x="987"/>
        <item h="1" x="274"/>
        <item h="1" x="630"/>
        <item h="1" x="1127"/>
        <item h="1" x="365"/>
        <item h="1" x="132"/>
        <item h="1" x="833"/>
        <item h="1" x="513"/>
        <item h="1" x="119"/>
        <item h="1" x="775"/>
        <item h="1" x="711"/>
        <item h="1" x="1145"/>
        <item h="1" x="829"/>
        <item h="1" x="93"/>
        <item h="1" x="701"/>
        <item h="1" x="170"/>
        <item h="1" x="91"/>
        <item h="1" x="76"/>
        <item h="1" x="1251"/>
        <item h="1" x="1074"/>
        <item h="1" x="314"/>
        <item h="1" x="780"/>
        <item h="1" x="1051"/>
        <item h="1" x="674"/>
        <item h="1" x="416"/>
        <item h="1" x="918"/>
        <item h="1" x="675"/>
        <item h="1" x="1275"/>
        <item h="1" x="534"/>
        <item h="1" x="575"/>
        <item h="1" x="1312"/>
        <item h="1" x="537"/>
        <item h="1" x="77"/>
        <item h="1" x="1"/>
        <item h="1" x="1323"/>
        <item h="1" x="1162"/>
        <item h="1" x="1269"/>
        <item h="1" x="1217"/>
        <item h="1" x="792"/>
        <item h="1" x="582"/>
        <item h="1" x="101"/>
        <item h="1" x="845"/>
        <item h="1" x="600"/>
        <item h="1" x="626"/>
        <item h="1" x="1087"/>
        <item h="1" x="1022"/>
        <item h="1" x="1066"/>
        <item h="1" x="89"/>
        <item h="1" x="304"/>
        <item h="1" x="828"/>
        <item h="1" x="311"/>
        <item h="1" x="615"/>
        <item h="1" x="9"/>
        <item h="1" x="319"/>
        <item h="1" x="255"/>
        <item h="1" x="363"/>
        <item h="1" x="322"/>
        <item h="1" x="355"/>
        <item h="1" x="193"/>
        <item h="1" x="1167"/>
        <item h="1" x="1088"/>
        <item h="1" x="346"/>
        <item h="1" x="983"/>
        <item h="1" x="367"/>
        <item h="1" x="535"/>
        <item h="1" x="1308"/>
        <item h="1" x="567"/>
        <item h="1" x="549"/>
        <item h="1" x="80"/>
        <item h="1" x="1061"/>
        <item h="1" x="447"/>
        <item h="1" x="798"/>
        <item h="1" x="800"/>
        <item h="1" x="1112"/>
        <item h="1" x="917"/>
        <item h="1" x="1111"/>
        <item h="1" x="1283"/>
        <item h="1" x="39"/>
        <item h="1" x="1064"/>
        <item h="1" x="1268"/>
        <item h="1" x="48"/>
        <item h="1" x="1347"/>
        <item h="1" x="508"/>
        <item h="1" x="1260"/>
        <item h="1" x="517"/>
        <item h="1" x="1330"/>
        <item h="1" x="874"/>
        <item h="1" x="276"/>
        <item h="1" x="923"/>
        <item h="1" x="1092"/>
        <item h="1" x="1081"/>
        <item h="1" x="88"/>
        <item h="1" x="50"/>
        <item h="1" x="466"/>
        <item h="1" x="931"/>
        <item h="1" x="1182"/>
        <item h="1" x="1103"/>
        <item h="1" x="698"/>
        <item h="1" x="67"/>
        <item h="1" x="1104"/>
        <item h="1" x="292"/>
        <item h="1" x="299"/>
        <item h="1" x="551"/>
        <item h="1" x="974"/>
        <item h="1" x="1261"/>
        <item h="1" x="680"/>
        <item h="1" x="1102"/>
        <item h="1" x="1253"/>
        <item h="1" x="1193"/>
        <item h="1" x="489"/>
        <item h="1" x="622"/>
        <item h="1" x="452"/>
        <item h="1" x="260"/>
        <item h="1" x="761"/>
        <item h="1" x="147"/>
        <item h="1" x="1288"/>
        <item h="1" x="958"/>
        <item h="1" x="301"/>
        <item h="1" x="295"/>
        <item h="1" x="670"/>
        <item h="1" x="1242"/>
        <item h="1" x="298"/>
        <item h="1" x="1219"/>
        <item h="1" x="1303"/>
        <item h="1" x="473"/>
        <item h="1" x="1337"/>
        <item h="1" x="787"/>
        <item h="1" x="376"/>
        <item h="1" x="785"/>
        <item h="1" x="1264"/>
        <item h="1" x="1079"/>
        <item h="1" x="104"/>
        <item h="1" x="280"/>
        <item h="1" x="1266"/>
        <item h="1" x="1194"/>
        <item h="1" x="990"/>
        <item h="1" x="1073"/>
        <item h="1" x="939"/>
        <item h="1" x="1075"/>
        <item h="1" x="46"/>
        <item h="1" x="316"/>
        <item h="1" x="957"/>
        <item h="1" x="1169"/>
        <item h="1" x="1188"/>
        <item h="1" x="286"/>
        <item h="1" x="658"/>
        <item h="1" x="1085"/>
        <item h="1" x="1028"/>
        <item h="1" x="134"/>
        <item h="1" x="1246"/>
        <item h="1" x="216"/>
        <item h="1" x="56"/>
        <item h="1" x="188"/>
        <item h="1" x="591"/>
        <item h="1" x="215"/>
        <item h="1" x="241"/>
        <item h="1" x="1291"/>
        <item h="1" x="344"/>
        <item h="1" x="554"/>
        <item h="1" x="475"/>
        <item h="1" x="0"/>
        <item h="1" x="1178"/>
        <item h="1" x="337"/>
        <item h="1" x="572"/>
        <item h="1" x="108"/>
        <item h="1" x="1033"/>
        <item h="1" x="399"/>
        <item h="1" x="330"/>
        <item h="1" x="929"/>
        <item h="1" x="908"/>
        <item h="1" x="153"/>
        <item h="1" x="1147"/>
        <item h="1" x="528"/>
        <item h="1" x="118"/>
        <item h="1" x="896"/>
        <item h="1" x="57"/>
        <item h="1" x="121"/>
        <item h="1" x="928"/>
        <item h="1" x="540"/>
        <item h="1" x="595"/>
        <item h="1" x="881"/>
        <item h="1" x="331"/>
        <item h="1" x="70"/>
        <item h="1" x="433"/>
        <item h="1" x="936"/>
        <item h="1" x="642"/>
        <item h="1" x="195"/>
        <item h="1" x="458"/>
        <item h="1" x="543"/>
        <item h="1" x="579"/>
        <item h="1" x="1159"/>
        <item h="1" x="1324"/>
        <item h="1" x="482"/>
        <item h="1" x="1302"/>
        <item h="1" x="602"/>
        <item h="1" x="136"/>
        <item h="1" x="323"/>
        <item h="1" x="922"/>
        <item h="1" x="358"/>
        <item h="1" x="1226"/>
        <item h="1" x="708"/>
        <item h="1" x="1004"/>
        <item h="1" x="529"/>
        <item h="1" x="1031"/>
        <item h="1" x="271"/>
        <item h="1" x="303"/>
        <item h="1" x="1140"/>
        <item h="1" x="243"/>
        <item h="1" x="1030"/>
        <item h="1" x="455"/>
        <item h="1" x="31"/>
        <item h="1" x="1150"/>
        <item h="1" x="806"/>
        <item h="1" x="63"/>
        <item h="1" x="559"/>
        <item h="1" x="267"/>
        <item h="1" x="1204"/>
        <item h="1" x="1141"/>
        <item h="1" x="613"/>
        <item h="1" x="382"/>
        <item h="1" x="361"/>
        <item h="1" x="247"/>
        <item h="1" x="1003"/>
        <item h="1" x="194"/>
        <item h="1" x="126"/>
        <item h="1" x="391"/>
        <item h="1" x="795"/>
        <item h="1" x="437"/>
        <item h="1" x="1256"/>
        <item h="1" x="634"/>
        <item h="1" x="850"/>
        <item h="1" x="541"/>
        <item h="1" x="259"/>
        <item h="1" x="490"/>
        <item h="1" x="979"/>
        <item h="1" x="1334"/>
        <item h="1" x="349"/>
        <item h="1" x="1284"/>
        <item h="1" x="200"/>
        <item h="1" x="889"/>
        <item h="1" x="926"/>
        <item h="1" x="752"/>
        <item h="1" x="212"/>
        <item h="1" x="1329"/>
        <item h="1" x="660"/>
        <item h="1" x="1333"/>
        <item h="1" x="1148"/>
        <item h="1" x="351"/>
        <item h="1" x="347"/>
        <item h="1" x="771"/>
        <item h="1" x="509"/>
        <item h="1" x="1205"/>
        <item h="1" x="197"/>
        <item h="1" x="445"/>
        <item h="1" x="844"/>
        <item h="1" x="1045"/>
        <item h="1" x="27"/>
        <item h="1" x="843"/>
        <item h="1" x="1262"/>
        <item h="1" x="1096"/>
        <item h="1" x="832"/>
        <item h="1" x="1210"/>
        <item h="1" x="710"/>
        <item h="1" x="1199"/>
        <item h="1" x="576"/>
        <item h="1" x="1143"/>
        <item h="1" x="907"/>
        <item h="1" x="296"/>
        <item h="1" x="248"/>
        <item h="1" x="648"/>
        <item h="1" x="662"/>
        <item h="1" x="1218"/>
        <item h="1" x="1116"/>
        <item h="1" x="1109"/>
        <item h="1" x="1013"/>
        <item h="1" x="887"/>
        <item h="1" x="481"/>
        <item h="1" x="747"/>
        <item h="1" x="1160"/>
        <item h="1" x="333"/>
        <item h="1" x="82"/>
        <item h="1" x="669"/>
        <item h="1" x="148"/>
        <item h="1" x="1235"/>
        <item h="1" x="789"/>
        <item h="1" x="767"/>
        <item h="1" x="827"/>
        <item h="1" x="646"/>
        <item h="1" x="438"/>
        <item h="1" x="511"/>
        <item h="1" x="112"/>
        <item h="1" x="1026"/>
        <item h="1" x="969"/>
        <item h="1" x="327"/>
        <item h="1" x="107"/>
        <item h="1" x="448"/>
        <item h="1" x="1292"/>
        <item h="1" x="720"/>
        <item h="1" x="313"/>
        <item h="1" x="949"/>
        <item h="1" x="545"/>
        <item h="1" x="373"/>
        <item h="1" x="510"/>
        <item h="1" x="426"/>
        <item h="1" x="60"/>
        <item h="1" x="201"/>
        <item h="1" x="624"/>
        <item h="1" x="1322"/>
        <item h="1" x="581"/>
        <item h="1" x="765"/>
        <item h="1" x="491"/>
        <item h="1" x="751"/>
        <item h="1" x="772"/>
        <item h="1" x="671"/>
        <item h="1" x="1128"/>
        <item h="1" x="523"/>
        <item h="1" x="1126"/>
        <item h="1" x="672"/>
        <item h="1" x="913"/>
        <item h="1" x="223"/>
        <item h="1" x="1078"/>
        <item h="1" x="395"/>
        <item h="1" x="875"/>
        <item h="1" x="947"/>
        <item h="1" x="1191"/>
        <item h="1" x="1086"/>
        <item h="1" x="290"/>
        <item h="1" x="335"/>
        <item h="1" x="1257"/>
        <item h="1" x="501"/>
        <item h="1" x="1166"/>
        <item h="1" x="130"/>
        <item h="1" x="783"/>
        <item h="1" x="1047"/>
        <item h="1" x="334"/>
        <item h="1" x="1186"/>
        <item h="1" x="1156"/>
        <item h="1" x="1008"/>
        <item h="1" x="855"/>
        <item h="1" x="484"/>
        <item h="1" x="392"/>
        <item h="1" x="727"/>
        <item h="1" x="412"/>
        <item h="1" x="892"/>
        <item h="1" x="977"/>
        <item h="1" x="207"/>
        <item h="1" x="902"/>
        <item h="1" x="1164"/>
        <item h="1" x="1224"/>
        <item h="1" x="1010"/>
        <item h="1" x="994"/>
        <item h="1" x="505"/>
        <item h="1" x="1281"/>
        <item h="1" x="1306"/>
        <item h="1" x="135"/>
        <item h="1" x="165"/>
        <item h="1" x="737"/>
        <item h="1" x="42"/>
        <item h="1" x="763"/>
        <item h="1" x="224"/>
        <item h="1" x="518"/>
        <item h="1" x="741"/>
        <item h="1" x="451"/>
        <item h="1" x="1332"/>
        <item h="1" x="493"/>
        <item h="1" x="1048"/>
        <item h="1" x="731"/>
        <item h="1" x="214"/>
        <item h="1" x="1203"/>
        <item h="1" x="1331"/>
        <item h="1" x="317"/>
        <item h="1" x="821"/>
        <item h="1" x="151"/>
        <item h="1" x="54"/>
        <item h="1" x="421"/>
        <item h="1" x="891"/>
        <item h="1" x="965"/>
        <item h="1" x="128"/>
        <item h="1" x="1130"/>
        <item h="1" x="1034"/>
        <item h="1" x="952"/>
        <item h="1" x="356"/>
        <item h="1" x="944"/>
        <item h="1" x="973"/>
        <item h="1" x="205"/>
        <item h="1" x="164"/>
        <item h="1" x="488"/>
        <item h="1" x="160"/>
        <item h="1" x="1123"/>
        <item h="1" x="8"/>
        <item h="1" x="184"/>
        <item h="1" x="748"/>
        <item h="1" x="468"/>
        <item h="1" x="1151"/>
        <item h="1" x="297"/>
        <item h="1" x="86"/>
        <item h="1" x="1211"/>
        <item h="1" x="1201"/>
        <item h="1" x="1287"/>
        <item h="1" x="350"/>
        <item h="1" x="653"/>
        <item h="1" x="1243"/>
        <item h="1" x="1032"/>
        <item h="1" x="1019"/>
        <item h="1" x="64"/>
        <item h="1" x="718"/>
        <item h="1" x="114"/>
        <item h="1" x="1153"/>
        <item h="1" x="427"/>
        <item h="1" x="895"/>
        <item h="1" x="1267"/>
        <item h="1" x="51"/>
        <item h="1" x="1280"/>
        <item h="1" x="1228"/>
        <item h="1" x="1043"/>
        <item h="1" x="1343"/>
        <item h="1" x="428"/>
        <item h="1" x="739"/>
        <item h="1" x="15"/>
        <item h="1" x="208"/>
        <item h="1" x="325"/>
        <item h="1" x="1346"/>
        <item h="1" x="933"/>
        <item h="1" x="910"/>
        <item h="1" x="244"/>
        <item h="1" x="61"/>
        <item h="1" x="1021"/>
        <item h="1" x="1036"/>
        <item h="1" x="993"/>
        <item h="1" x="585"/>
        <item h="1" x="873"/>
        <item h="1" x="79"/>
        <item h="1" x="28"/>
        <item h="1" x="830"/>
        <item h="1" x="415"/>
        <item h="1" x="797"/>
        <item h="1" x="1076"/>
        <item h="1" x="123"/>
        <item h="1" x="742"/>
        <item h="1" x="661"/>
        <item h="1" x="1208"/>
        <item h="1" x="1146"/>
        <item h="1" x="836"/>
        <item h="1" x="694"/>
        <item h="1" x="206"/>
        <item h="1" x="1317"/>
        <item h="1" x="1072"/>
        <item h="1" x="762"/>
        <item h="1" x="1200"/>
        <item h="1" x="1289"/>
        <item h="1" x="174"/>
        <item h="1" x="988"/>
        <item h="1" x="514"/>
        <item h="1" x="746"/>
        <item h="1" x="357"/>
        <item h="1" x="838"/>
        <item h="1" x="866"/>
        <item h="1" x="449"/>
        <item h="1" x="644"/>
        <item h="1" x="930"/>
        <item h="1" x="219"/>
        <item h="1" x="422"/>
        <item h="1" x="133"/>
        <item h="1" x="90"/>
        <item h="1" x="607"/>
        <item h="1" x="730"/>
        <item h="1" x="492"/>
        <item h="1" x="693"/>
        <item h="1" x="1133"/>
        <item h="1" x="599"/>
        <item h="1" x="967"/>
        <item h="1" x="733"/>
        <item h="1" x="768"/>
        <item h="1" x="688"/>
        <item h="1" x="970"/>
        <item h="1" x="1341"/>
        <item h="1" x="155"/>
        <item h="1" x="715"/>
        <item h="1" x="1122"/>
        <item h="1" x="619"/>
        <item h="1" x="935"/>
        <item h="1" x="444"/>
        <item h="1" x="598"/>
        <item h="1" x="245"/>
        <item h="1" x="364"/>
        <item h="1" x="744"/>
        <item h="1" x="700"/>
        <item h="1" x="1298"/>
        <item h="1" x="530"/>
        <item h="1" x="512"/>
        <item h="1" x="1005"/>
        <item h="1" x="1056"/>
        <item h="1" x="695"/>
        <item h="1" x="332"/>
        <item h="1" x="442"/>
        <item h="1" x="113"/>
        <item h="1" x="566"/>
        <item h="1" x="522"/>
        <item h="1" x="618"/>
        <item h="1" x="265"/>
        <item h="1" x="306"/>
        <item h="1" x="719"/>
        <item h="1" x="893"/>
        <item h="1" x="409"/>
        <item h="1" x="1309"/>
        <item h="1" x="22"/>
        <item h="1" x="270"/>
        <item h="1" x="1342"/>
        <item h="1" x="300"/>
        <item h="1" x="769"/>
        <item h="1" x="218"/>
        <item h="1" x="209"/>
        <item h="1" x="343"/>
        <item h="1" x="702"/>
        <item h="1" x="584"/>
        <item h="1" x="1135"/>
        <item h="1" x="1176"/>
        <item h="1" x="1183"/>
        <item h="1" x="776"/>
        <item h="1" x="915"/>
        <item h="1" x="835"/>
        <item h="1" x="673"/>
        <item h="1" x="1316"/>
        <item h="1" x="390"/>
        <item h="1" x="1229"/>
        <item h="1" x="435"/>
        <item h="1" x="74"/>
        <item h="1" x="937"/>
        <item h="1" x="1090"/>
        <item h="1" x="713"/>
        <item h="1" x="1296"/>
        <item h="1" x="1255"/>
        <item h="1" x="920"/>
        <item h="1" x="53"/>
        <item h="1" x="1190"/>
        <item h="1" x="262"/>
        <item h="1" x="790"/>
        <item h="1" x="87"/>
        <item h="1" x="288"/>
        <item h="1" x="92"/>
        <item h="1" x="1328"/>
        <item h="1" x="861"/>
        <item h="1" x="650"/>
        <item h="1" x="211"/>
        <item h="1" x="269"/>
        <item h="1" x="423"/>
        <item h="1" x="75"/>
        <item h="1" x="240"/>
        <item h="1" x="919"/>
        <item h="1" x="706"/>
        <item h="1" x="185"/>
        <item h="1" x="1318"/>
        <item h="1" x="976"/>
        <item h="1" x="791"/>
        <item h="1" x="525"/>
        <item h="1" x="601"/>
        <item h="1" x="95"/>
        <item h="1" x="309"/>
        <item h="1" x="1094"/>
        <item h="1" x="686"/>
        <item h="1" x="906"/>
        <item h="1" x="413"/>
        <item h="1" x="621"/>
        <item h="1" x="379"/>
        <item h="1" x="1015"/>
        <item h="1" x="951"/>
        <item h="1" x="62"/>
        <item h="1" x="515"/>
        <item h="1" x="668"/>
        <item h="1" x="1080"/>
        <item h="1" x="1108"/>
        <item h="1" x="474"/>
        <item h="1" x="18"/>
        <item h="1" x="1214"/>
        <item h="1" x="1107"/>
        <item h="1" x="339"/>
        <item h="1" x="293"/>
        <item h="1" x="1006"/>
        <item h="1" x="231"/>
        <item h="1" x="852"/>
        <item h="1" x="441"/>
        <item h="1" x="1206"/>
        <item h="1" x="590"/>
        <item h="1" x="1007"/>
        <item h="1" x="1089"/>
        <item h="1" x="954"/>
        <item h="1" x="1023"/>
        <item h="1" x="397"/>
        <item h="1" x="450"/>
        <item h="1" x="978"/>
        <item h="1" x="1009"/>
        <item h="1" x="471"/>
        <item h="1" x="368"/>
        <item h="1" x="1137"/>
        <item h="1" x="568"/>
        <item h="1" x="732"/>
        <item h="1" x="190"/>
        <item h="1" x="941"/>
        <item h="1" x="1248"/>
        <item h="1" x="432"/>
        <item h="1" x="538"/>
        <item h="1" x="257"/>
        <item h="1" x="890"/>
        <item h="1" x="760"/>
        <item h="1" x="116"/>
        <item h="1" x="989"/>
        <item h="1" x="414"/>
        <item h="1" x="812"/>
        <item h="1" x="307"/>
        <item h="1" x="666"/>
        <item h="1" x="883"/>
        <item h="1" x="583"/>
        <item h="1" x="963"/>
        <item h="1" x="1250"/>
        <item h="1" x="144"/>
        <item h="1" x="109"/>
        <item h="1" x="679"/>
        <item h="1" x="1097"/>
        <item h="1" x="677"/>
        <item h="1" x="766"/>
        <item h="1" x="1053"/>
        <item h="1" x="273"/>
        <item h="1" x="1098"/>
        <item h="1" x="564"/>
        <item h="1" x="716"/>
        <item h="1" x="755"/>
        <item h="1" x="842"/>
        <item h="1" x="818"/>
        <item h="1" x="417"/>
        <item h="1" x="1271"/>
        <item h="1" x="625"/>
        <item h="1" x="406"/>
        <item h="1" x="882"/>
        <item h="1" x="103"/>
        <item h="1" x="460"/>
        <item h="1" x="854"/>
        <item h="1" x="851"/>
        <item h="1" x="321"/>
        <item h="1" x="705"/>
        <item h="1" x="560"/>
        <item h="1" x="809"/>
        <item h="1" x="283"/>
        <item h="1" x="847"/>
        <item h="1" x="183"/>
        <item h="1" x="59"/>
        <item h="1" x="863"/>
        <item h="1" x="860"/>
        <item h="1" x="102"/>
        <item h="1" x="1326"/>
        <item h="1" x="29"/>
        <item h="1" x="182"/>
        <item h="1" x="1172"/>
        <item h="1" x="264"/>
        <item h="1" x="1058"/>
        <item h="1" x="233"/>
        <item h="1" x="820"/>
        <item h="1" x="25"/>
        <item h="1" x="516"/>
        <item h="1" x="272"/>
        <item h="1" x="1274"/>
        <item h="1" x="899"/>
        <item h="1" x="519"/>
        <item h="1" x="869"/>
        <item h="1" x="389"/>
        <item h="1" x="239"/>
        <item h="1" x="227"/>
        <item h="1" x="725"/>
        <item h="1" x="570"/>
        <item h="1" x="318"/>
        <item h="1" x="1185"/>
        <item h="1" x="1049"/>
        <item h="1" x="1232"/>
        <item h="1" x="381"/>
        <item h="1" x="681"/>
        <item h="1" x="1320"/>
        <item h="1" x="251"/>
        <item h="1" x="456"/>
        <item h="1" x="479"/>
        <item h="1" x="229"/>
        <item h="1" x="120"/>
        <item h="1" x="43"/>
        <item h="1" x="400"/>
        <item h="1" x="1041"/>
        <item h="1" x="1050"/>
        <item h="1" x="770"/>
        <item h="1" x="729"/>
        <item h="1" x="1294"/>
        <item h="1" x="1070"/>
        <item h="1" x="1233"/>
        <item h="1" x="950"/>
        <item h="1" x="900"/>
        <item h="1" x="846"/>
        <item h="1" x="1152"/>
        <item h="1" x="712"/>
        <item h="1" x="865"/>
        <item h="1" x="544"/>
        <item h="1" x="162"/>
        <item h="1" x="802"/>
        <item h="1" x="709"/>
        <item h="1"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Average of MonthlyIncome" fld="18" subtotal="average" baseField="1"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AEB14BB-5081-44D4-978B-36EC3F10B6F8}" sourceName="Department">
  <pivotTables>
    <pivotTable tabId="7" name="PivotTable1"/>
    <pivotTable tabId="9" name="PivotTable2"/>
    <pivotTable tabId="8" name="PivotTable1"/>
  </pivotTables>
  <data>
    <tabular pivotCacheId="968437071">
      <items count="3">
        <i x="1" s="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27C213B-9933-4F3D-A04F-090BBAED42DF}" sourceName="Attrition">
  <pivotTables>
    <pivotTable tabId="8" name="PivotTable1"/>
    <pivotTable tabId="7" name="PivotTable1"/>
    <pivotTable tabId="9" name="PivotTable2"/>
  </pivotTables>
  <data>
    <tabular pivotCacheId="968437071">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Income" xr10:uid="{82E0F0D6-0C57-4ED5-A207-58FFEF05D4D6}" sourceName="MonthlyIncome">
  <pivotTables>
    <pivotTable tabId="9" name="PivotTable2"/>
    <pivotTable tabId="7" name="PivotTable1"/>
    <pivotTable tabId="8" name="PivotTable1"/>
  </pivotTables>
  <data>
    <tabular pivotCacheId="968437071">
      <items count="1349">
        <i x="495"/>
        <i x="692"/>
        <i x="723"/>
        <i x="1240"/>
        <i x="1263"/>
        <i x="173"/>
        <i x="858"/>
        <i x="1295"/>
        <i x="294"/>
        <i x="857"/>
        <i x="23"/>
        <i x="955"/>
        <i x="986"/>
        <i x="497"/>
        <i x="953"/>
        <i x="1118"/>
        <i x="734"/>
        <i x="289"/>
        <i x="146"/>
        <i x="1215"/>
        <i x="1134"/>
        <i x="1000"/>
        <i x="1069"/>
        <i x="561" s="1"/>
        <i x="916"/>
        <i x="124"/>
        <i x="405"/>
        <i x="589"/>
        <i x="1321"/>
        <i x="840"/>
        <i x="443"/>
        <i x="782"/>
        <i x="40"/>
        <i x="1338"/>
        <i x="728"/>
        <i x="641"/>
        <i x="839"/>
        <i x="1093"/>
        <i x="37"/>
        <i x="1012"/>
        <i x="608"/>
        <i x="158"/>
        <i x="14"/>
        <i x="921"/>
        <i x="462"/>
        <i x="96"/>
        <i x="633"/>
        <i x="494"/>
        <i x="213"/>
        <i x="1042"/>
        <i x="1244"/>
        <i x="995"/>
        <i x="962"/>
        <i x="266"/>
        <i x="97"/>
        <i x="1035"/>
        <i x="84"/>
        <i x="880"/>
        <i x="483"/>
        <i x="33"/>
        <i x="168"/>
        <i x="189"/>
        <i x="2"/>
        <i x="429"/>
        <i x="461"/>
        <i x="408"/>
        <i x="956"/>
        <i x="1223"/>
        <i x="815"/>
        <i x="971"/>
        <i x="278"/>
        <i x="328"/>
        <i x="657"/>
        <i x="459"/>
        <i x="685"/>
        <i x="1270"/>
        <i x="1059"/>
        <i x="574"/>
        <i x="1277"/>
        <i x="1154"/>
        <i x="1202"/>
        <i x="203"/>
        <i x="868"/>
        <i x="664"/>
        <i x="1084"/>
        <i x="810"/>
        <i x="348"/>
        <i x="256"/>
        <i x="221"/>
        <i x="1155"/>
        <i x="467"/>
        <i x="65"/>
        <i x="360"/>
        <i x="32"/>
        <i x="750"/>
        <i x="822"/>
        <i x="352"/>
        <i x="521"/>
        <i x="388"/>
        <i x="722"/>
        <i x="1265"/>
        <i x="156"/>
        <i x="236"/>
        <i x="837"/>
        <i x="145"/>
        <i x="372"/>
        <i x="384"/>
        <i x="647"/>
        <i x="228"/>
        <i x="47"/>
        <i x="678"/>
        <i x="1011"/>
        <i x="577"/>
        <i x="1125"/>
        <i x="627"/>
        <i x="187"/>
        <i x="374"/>
        <i x="175"/>
        <i x="1174"/>
        <i x="813"/>
        <i x="34"/>
        <i x="1024"/>
        <i x="532"/>
        <i x="897"/>
        <i x="1136"/>
        <i x="149"/>
        <i x="1252"/>
        <i x="1016"/>
        <i x="177"/>
        <i x="754"/>
        <i x="609"/>
        <i x="640"/>
        <i x="565"/>
        <i x="676"/>
        <i x="83"/>
        <i x="157"/>
        <i x="167"/>
        <i x="287"/>
        <i x="202"/>
        <i x="645"/>
        <i x="651"/>
        <i x="1216"/>
        <i x="1327"/>
        <i x="246"/>
        <i x="41"/>
        <i x="531"/>
        <i x="980"/>
        <i x="150"/>
        <i x="404"/>
        <i x="616"/>
        <i x="898"/>
        <i x="588"/>
        <i x="1039"/>
        <i x="122"/>
        <i x="342"/>
        <i x="872"/>
        <i x="281"/>
        <i x="799"/>
        <i x="638"/>
        <i x="1220"/>
        <i x="631"/>
        <i x="911"/>
        <i x="225"/>
        <i x="940"/>
        <i x="1181"/>
        <i x="454"/>
        <i x="639"/>
        <i x="58"/>
        <i x="1054"/>
        <i x="652"/>
        <i x="697"/>
        <i x="10"/>
        <i x="1027"/>
        <i x="1272"/>
        <i x="230"/>
        <i x="1170"/>
        <i x="1198"/>
        <i x="1234"/>
        <i x="1106"/>
        <i x="533"/>
        <i x="163"/>
        <i x="308"/>
        <i x="736"/>
        <i x="1165"/>
        <i x="1241"/>
        <i x="370"/>
        <i x="310"/>
        <i x="667"/>
        <i x="30"/>
        <i x="172"/>
        <i x="69"/>
        <i x="571"/>
        <i x="764"/>
        <i x="605"/>
        <i x="849"/>
        <i x="656"/>
        <i x="125"/>
        <i x="629"/>
        <i x="914"/>
        <i x="786"/>
        <i x="366"/>
        <i x="1259"/>
        <i x="410"/>
        <i x="804"/>
        <i x="580"/>
        <i x="594"/>
        <i x="999"/>
        <i x="411"/>
        <i x="161"/>
        <i x="1119"/>
        <i x="1345"/>
        <i x="556"/>
        <i x="377"/>
        <i x="476"/>
        <i x="1083"/>
        <i x="853"/>
        <i x="1105"/>
        <i x="1195"/>
        <i x="250"/>
        <i x="756"/>
        <i x="696"/>
        <i x="353"/>
        <i x="117"/>
        <i x="472"/>
        <i x="217"/>
        <i x="862"/>
        <i x="140"/>
        <i x="526"/>
        <i x="1029"/>
        <i x="35"/>
        <i x="1301"/>
        <i x="396"/>
        <i x="1117"/>
        <i x="210"/>
        <i x="487"/>
        <i x="1310"/>
        <i x="13"/>
        <i x="1238"/>
        <i x="6"/>
        <i x="826"/>
        <i x="1179"/>
        <i x="36"/>
        <i x="687"/>
        <i x="539"/>
        <i x="1052"/>
        <i x="485"/>
        <i x="7"/>
        <i x="562"/>
        <i x="305"/>
        <i x="341"/>
        <i x="569"/>
        <i x="68"/>
        <i x="1207"/>
        <i x="1225"/>
        <i x="232"/>
        <i x="159"/>
        <i x="359"/>
        <i x="1168"/>
        <i x="143"/>
        <i x="252"/>
        <i x="457"/>
        <i x="1110"/>
        <i x="199"/>
        <i x="975"/>
        <i x="714"/>
        <i x="181"/>
        <i x="527"/>
        <i x="1158"/>
        <i x="1171"/>
        <i x="420"/>
        <i x="480"/>
        <i x="110"/>
        <i x="637"/>
        <i x="831"/>
        <i x="553"/>
        <i x="1091"/>
        <i x="924"/>
        <i x="285"/>
        <i x="773"/>
        <i x="222"/>
        <i x="254"/>
        <i x="628"/>
        <i x="643"/>
        <i x="617"/>
        <i x="1231"/>
        <i x="1336"/>
        <i x="1279"/>
        <i x="682"/>
        <i x="1055"/>
        <i x="604"/>
        <i x="498"/>
        <i x="724"/>
        <i x="801"/>
        <i x="115"/>
        <i x="469"/>
        <i x="1314"/>
        <i x="877"/>
        <i x="781"/>
        <i x="354"/>
        <i x="811"/>
        <i x="1239"/>
        <i x="1285"/>
        <i x="78"/>
        <i x="1144"/>
        <i x="1276"/>
        <i x="1282"/>
        <i x="106"/>
        <i x="859"/>
        <i x="407"/>
        <i x="105"/>
        <i x="1290"/>
        <i x="614"/>
        <i x="336"/>
        <i x="3"/>
        <i x="12"/>
        <i x="99"/>
        <i x="1124"/>
        <i x="1161"/>
        <i x="1249"/>
        <i x="17"/>
        <i x="808"/>
        <i x="131"/>
        <i x="942"/>
        <i x="98"/>
        <i x="24"/>
        <i x="1344"/>
        <i x="1040"/>
        <i x="620"/>
        <i x="1131"/>
        <i x="338"/>
        <i x="1339"/>
        <i x="759"/>
        <i x="425"/>
        <i x="1293"/>
        <i x="856"/>
        <i x="932"/>
        <i x="45"/>
        <i x="807"/>
        <i x="375"/>
        <i x="71"/>
        <i x="477"/>
        <i x="1173"/>
        <i x="536"/>
        <i x="166"/>
        <i x="1278"/>
        <i x="1307"/>
        <i x="5"/>
        <i x="1071"/>
        <i x="169"/>
        <i x="371"/>
        <i x="1068"/>
        <i x="803"/>
        <i x="178"/>
        <i x="1189"/>
        <i x="563"/>
        <i x="279"/>
        <i x="612"/>
        <i x="992"/>
        <i x="1002"/>
        <i x="1113"/>
        <i x="819"/>
        <i x="774"/>
        <i x="403"/>
        <i x="142"/>
        <i x="263"/>
        <i x="1063"/>
        <i x="226"/>
        <i x="504"/>
        <i x="945"/>
        <i x="268"/>
        <i x="550"/>
        <i x="778"/>
        <i x="635"/>
        <i x="1149"/>
        <i x="16"/>
        <i x="1115"/>
        <i x="282"/>
        <i x="1057"/>
        <i x="238"/>
        <i x="879"/>
        <i x="154"/>
        <i x="496"/>
        <i x="1311"/>
        <i x="740"/>
        <i x="1192"/>
        <i x="66"/>
        <i x="21"/>
        <i x="424"/>
        <i x="38"/>
        <i x="959"/>
        <i x="888"/>
        <i x="592"/>
        <i x="1138"/>
        <i x="49"/>
        <i x="1157"/>
        <i x="478"/>
        <i x="380"/>
        <i x="138"/>
        <i x="315"/>
        <i x="4"/>
        <i x="1139"/>
        <i x="253"/>
        <i x="1319"/>
        <i x="258"/>
        <i x="824"/>
        <i x="961"/>
        <i x="542"/>
        <i x="871"/>
        <i x="1082"/>
        <i x="1120"/>
        <i x="1177"/>
        <i x="1230"/>
        <i x="901"/>
        <i x="191"/>
        <i x="946"/>
        <i x="834"/>
        <i x="611"/>
        <i x="1212"/>
        <i x="793"/>
        <i x="814"/>
        <i x="659"/>
        <i x="463"/>
        <i x="943"/>
        <i x="683"/>
        <i x="968"/>
        <i x="745"/>
        <i x="909"/>
        <i x="984"/>
        <i x="465"/>
        <i x="291"/>
        <i x="179"/>
        <i x="753"/>
        <i x="848"/>
        <i x="326"/>
        <i x="1180"/>
        <i x="524"/>
        <i x="972"/>
        <i x="235"/>
        <i x="587"/>
        <i x="690"/>
        <i x="1304"/>
        <i x="436"/>
        <i x="841"/>
        <i x="597"/>
        <i x="419"/>
        <i x="1340"/>
        <i x="1221"/>
        <i x="198"/>
        <i x="362"/>
        <i x="557"/>
        <i x="997"/>
        <i x="876"/>
        <i x="520"/>
        <i x="1247"/>
        <i x="430"/>
        <i x="1237"/>
        <i x="885"/>
        <i x="1142"/>
        <i x="704"/>
        <i x="26"/>
        <i x="242"/>
        <i x="176"/>
        <i x="234"/>
        <i x="1077"/>
        <i x="19"/>
        <i x="738"/>
        <i x="1227"/>
        <i x="966"/>
        <i x="1305"/>
        <i x="1258"/>
        <i x="329"/>
        <i x="1121"/>
        <i x="1114"/>
        <i x="261"/>
        <i x="1175"/>
        <i x="20"/>
        <i x="55"/>
        <i x="717"/>
        <i x="500"/>
        <i x="394"/>
        <i x="777"/>
        <i x="996"/>
        <i x="593"/>
        <i x="431"/>
        <i x="1065"/>
        <i x="1025"/>
        <i x="1187"/>
        <i x="934"/>
        <i x="938"/>
        <i x="1014"/>
        <i x="1038"/>
        <i x="470"/>
        <i x="904"/>
        <i x="1286"/>
        <i x="726"/>
        <i x="1315"/>
        <i x="816"/>
        <i x="1197"/>
        <i x="691"/>
        <i x="85"/>
        <i x="52"/>
        <i x="964"/>
        <i x="684"/>
        <i x="636"/>
        <i x="1101"/>
        <i x="1184"/>
        <i x="11"/>
        <i x="606"/>
        <i x="378"/>
        <i x="1044"/>
        <i x="137"/>
        <i x="1196"/>
        <i x="94"/>
        <i x="703"/>
        <i x="418"/>
        <i x="464"/>
        <i x="699"/>
        <i x="558"/>
        <i x="905"/>
        <i x="610"/>
        <i x="171"/>
        <i x="546"/>
        <i x="369"/>
        <i x="440"/>
        <i x="779"/>
        <i x="948"/>
        <i x="1018"/>
        <i x="486"/>
        <i x="654"/>
        <i x="196"/>
        <i x="758"/>
        <i x="383"/>
        <i x="73"/>
        <i x="139"/>
        <i x="152"/>
        <i x="1020"/>
        <i x="788"/>
        <i x="81"/>
        <i x="817"/>
        <i x="1297"/>
        <i x="548"/>
        <i x="552"/>
        <i x="220"/>
        <i x="547"/>
        <i x="981"/>
        <i x="1095"/>
        <i x="689"/>
        <i x="555"/>
        <i x="573"/>
        <i x="1060"/>
        <i x="1254"/>
        <i x="960"/>
        <i x="1129"/>
        <i x="596"/>
        <i x="1348"/>
        <i x="794"/>
        <i x="796"/>
        <i x="72"/>
        <i x="192"/>
        <i x="578"/>
        <i x="1299"/>
        <i x="867"/>
        <i x="663"/>
        <i x="1209"/>
        <i x="387"/>
        <i x="180"/>
        <i x="237"/>
        <i x="805"/>
        <i x="312"/>
        <i x="284"/>
        <i x="386"/>
        <i x="870"/>
        <i x="1132"/>
        <i x="111"/>
        <i x="1163"/>
        <i x="749"/>
        <i x="385"/>
        <i x="402"/>
        <i x="894"/>
        <i x="623"/>
        <i x="864"/>
        <i x="823"/>
        <i x="825"/>
        <i x="507"/>
        <i x="275"/>
        <i x="398"/>
        <i x="393"/>
        <i x="129"/>
        <i x="44"/>
        <i x="506"/>
        <i x="1099"/>
        <i x="998"/>
        <i x="991"/>
        <i x="665"/>
        <i x="925"/>
        <i x="735"/>
        <i x="1300"/>
        <i x="743"/>
        <i x="886"/>
        <i x="912"/>
        <i x="502"/>
        <i x="1222"/>
        <i x="340"/>
        <i x="903"/>
        <i x="1062"/>
        <i x="141"/>
        <i x="649"/>
        <i x="503"/>
        <i x="320"/>
        <i x="1213"/>
        <i x="878"/>
        <i x="453"/>
        <i x="434"/>
        <i x="655"/>
        <i x="1046"/>
        <i x="927"/>
        <i x="757"/>
        <i x="1100"/>
        <i x="345"/>
        <i x="127"/>
        <i x="277"/>
        <i x="982"/>
        <i x="632"/>
        <i x="784"/>
        <i x="985"/>
        <i x="1273"/>
        <i x="1236"/>
        <i x="603"/>
        <i x="707"/>
        <i x="586"/>
        <i x="1325"/>
        <i x="1245"/>
        <i x="1001"/>
        <i x="439"/>
        <i x="100"/>
        <i x="401"/>
        <i x="302"/>
        <i x="721"/>
        <i x="1017"/>
        <i x="1335"/>
        <i x="499"/>
        <i x="1037"/>
        <i x="446"/>
        <i x="324"/>
        <i x="204"/>
        <i x="1067"/>
        <i x="1313"/>
        <i x="884"/>
        <i x="249"/>
        <i x="987"/>
        <i x="274"/>
        <i x="630"/>
        <i x="1127"/>
        <i x="365"/>
        <i x="132"/>
        <i x="833"/>
        <i x="513"/>
        <i x="119"/>
        <i x="775"/>
        <i x="711"/>
        <i x="1145"/>
        <i x="829"/>
        <i x="93"/>
        <i x="701"/>
        <i x="170"/>
        <i x="91"/>
        <i x="76"/>
        <i x="1251"/>
        <i x="1074"/>
        <i x="314"/>
        <i x="780"/>
        <i x="1051"/>
        <i x="674"/>
        <i x="416"/>
        <i x="918"/>
        <i x="675"/>
        <i x="1275"/>
        <i x="534"/>
        <i x="575"/>
        <i x="1312"/>
        <i x="537"/>
        <i x="77"/>
        <i x="1"/>
        <i x="1323"/>
        <i x="1162"/>
        <i x="1269"/>
        <i x="1217"/>
        <i x="792"/>
        <i x="582"/>
        <i x="101"/>
        <i x="845"/>
        <i x="600"/>
        <i x="626"/>
        <i x="1087"/>
        <i x="1022"/>
        <i x="1066"/>
        <i x="89"/>
        <i x="304"/>
        <i x="828"/>
        <i x="311"/>
        <i x="615"/>
        <i x="9"/>
        <i x="319"/>
        <i x="255"/>
        <i x="363"/>
        <i x="322"/>
        <i x="355"/>
        <i x="193"/>
        <i x="1167"/>
        <i x="1088"/>
        <i x="346"/>
        <i x="983"/>
        <i x="367"/>
        <i x="535"/>
        <i x="1308"/>
        <i x="567"/>
        <i x="549"/>
        <i x="80"/>
        <i x="1061"/>
        <i x="447"/>
        <i x="798"/>
        <i x="800"/>
        <i x="1112"/>
        <i x="917"/>
        <i x="1111"/>
        <i x="1283"/>
        <i x="39"/>
        <i x="1064"/>
        <i x="1268"/>
        <i x="48"/>
        <i x="1347"/>
        <i x="508"/>
        <i x="1260"/>
        <i x="517"/>
        <i x="1330"/>
        <i x="874"/>
        <i x="276"/>
        <i x="923"/>
        <i x="1092"/>
        <i x="1081"/>
        <i x="88"/>
        <i x="50"/>
        <i x="466"/>
        <i x="931"/>
        <i x="1182"/>
        <i x="1103"/>
        <i x="698"/>
        <i x="67"/>
        <i x="1104"/>
        <i x="292"/>
        <i x="299"/>
        <i x="551"/>
        <i x="974"/>
        <i x="1261"/>
        <i x="680"/>
        <i x="1102"/>
        <i x="1253"/>
        <i x="1193"/>
        <i x="489"/>
        <i x="622"/>
        <i x="452"/>
        <i x="260"/>
        <i x="761"/>
        <i x="147"/>
        <i x="1288"/>
        <i x="958"/>
        <i x="301"/>
        <i x="295"/>
        <i x="670"/>
        <i x="1242"/>
        <i x="298"/>
        <i x="1219"/>
        <i x="1303"/>
        <i x="473"/>
        <i x="1337"/>
        <i x="787"/>
        <i x="376"/>
        <i x="785"/>
        <i x="1264"/>
        <i x="1079"/>
        <i x="104"/>
        <i x="280"/>
        <i x="1266"/>
        <i x="1194"/>
        <i x="990"/>
        <i x="1073"/>
        <i x="939"/>
        <i x="1075"/>
        <i x="46"/>
        <i x="316"/>
        <i x="957"/>
        <i x="1169"/>
        <i x="1188"/>
        <i x="286"/>
        <i x="658"/>
        <i x="1085"/>
        <i x="1028"/>
        <i x="134"/>
        <i x="1246"/>
        <i x="216"/>
        <i x="56"/>
        <i x="188"/>
        <i x="591"/>
        <i x="215"/>
        <i x="241"/>
        <i x="1291"/>
        <i x="344"/>
        <i x="554"/>
        <i x="475"/>
        <i x="0"/>
        <i x="1178"/>
        <i x="337"/>
        <i x="572"/>
        <i x="108"/>
        <i x="1033"/>
        <i x="399"/>
        <i x="330"/>
        <i x="929"/>
        <i x="908"/>
        <i x="153"/>
        <i x="1147"/>
        <i x="528"/>
        <i x="118"/>
        <i x="896"/>
        <i x="57"/>
        <i x="121"/>
        <i x="928"/>
        <i x="540"/>
        <i x="595"/>
        <i x="881"/>
        <i x="331"/>
        <i x="70"/>
        <i x="433"/>
        <i x="936"/>
        <i x="642"/>
        <i x="195"/>
        <i x="458"/>
        <i x="543"/>
        <i x="579"/>
        <i x="1159"/>
        <i x="1324"/>
        <i x="482"/>
        <i x="1302"/>
        <i x="602"/>
        <i x="136"/>
        <i x="323"/>
        <i x="922"/>
        <i x="358"/>
        <i x="1226"/>
        <i x="708"/>
        <i x="1004"/>
        <i x="529"/>
        <i x="1031"/>
        <i x="271"/>
        <i x="303"/>
        <i x="1140"/>
        <i x="243"/>
        <i x="1030"/>
        <i x="455"/>
        <i x="31"/>
        <i x="1150"/>
        <i x="806"/>
        <i x="63"/>
        <i x="559"/>
        <i x="267"/>
        <i x="1204"/>
        <i x="1141"/>
        <i x="613"/>
        <i x="382"/>
        <i x="361"/>
        <i x="247"/>
        <i x="1003"/>
        <i x="194"/>
        <i x="126"/>
        <i x="391"/>
        <i x="795"/>
        <i x="437"/>
        <i x="1256"/>
        <i x="634"/>
        <i x="850"/>
        <i x="541"/>
        <i x="259"/>
        <i x="490"/>
        <i x="979"/>
        <i x="1334"/>
        <i x="349"/>
        <i x="1284"/>
        <i x="200"/>
        <i x="889"/>
        <i x="926"/>
        <i x="752"/>
        <i x="212"/>
        <i x="1329"/>
        <i x="660"/>
        <i x="1333"/>
        <i x="1148"/>
        <i x="351"/>
        <i x="347"/>
        <i x="771"/>
        <i x="509"/>
        <i x="1205"/>
        <i x="197"/>
        <i x="445"/>
        <i x="844"/>
        <i x="1045"/>
        <i x="27"/>
        <i x="843"/>
        <i x="1262"/>
        <i x="1096"/>
        <i x="832"/>
        <i x="1210"/>
        <i x="710"/>
        <i x="1199"/>
        <i x="576"/>
        <i x="1143"/>
        <i x="907"/>
        <i x="296"/>
        <i x="248"/>
        <i x="648"/>
        <i x="662"/>
        <i x="1218"/>
        <i x="1116"/>
        <i x="1109"/>
        <i x="1013"/>
        <i x="887"/>
        <i x="481"/>
        <i x="747"/>
        <i x="1160"/>
        <i x="333"/>
        <i x="82"/>
        <i x="669"/>
        <i x="148"/>
        <i x="1235"/>
        <i x="789"/>
        <i x="767"/>
        <i x="827"/>
        <i x="646"/>
        <i x="438"/>
        <i x="511"/>
        <i x="112"/>
        <i x="1026"/>
        <i x="969"/>
        <i x="327"/>
        <i x="107"/>
        <i x="448"/>
        <i x="1292"/>
        <i x="720"/>
        <i x="313"/>
        <i x="949"/>
        <i x="545"/>
        <i x="373"/>
        <i x="510"/>
        <i x="426"/>
        <i x="60"/>
        <i x="201"/>
        <i x="624"/>
        <i x="1322"/>
        <i x="581"/>
        <i x="765"/>
        <i x="491"/>
        <i x="751"/>
        <i x="772"/>
        <i x="671"/>
        <i x="1128"/>
        <i x="523"/>
        <i x="1126"/>
        <i x="672"/>
        <i x="913"/>
        <i x="223"/>
        <i x="1078"/>
        <i x="395"/>
        <i x="875"/>
        <i x="947"/>
        <i x="1191"/>
        <i x="1086"/>
        <i x="290"/>
        <i x="335"/>
        <i x="1257"/>
        <i x="501"/>
        <i x="1166"/>
        <i x="130"/>
        <i x="783"/>
        <i x="1047"/>
        <i x="334"/>
        <i x="1186"/>
        <i x="1156"/>
        <i x="1008"/>
        <i x="855"/>
        <i x="484"/>
        <i x="392"/>
        <i x="727"/>
        <i x="412"/>
        <i x="892"/>
        <i x="977"/>
        <i x="207"/>
        <i x="902"/>
        <i x="1164"/>
        <i x="1224"/>
        <i x="1010"/>
        <i x="994"/>
        <i x="505"/>
        <i x="1281"/>
        <i x="1306"/>
        <i x="135"/>
        <i x="165"/>
        <i x="737"/>
        <i x="42"/>
        <i x="763"/>
        <i x="224"/>
        <i x="518"/>
        <i x="741"/>
        <i x="451"/>
        <i x="1332"/>
        <i x="493"/>
        <i x="1048"/>
        <i x="731"/>
        <i x="214"/>
        <i x="1203"/>
        <i x="1331"/>
        <i x="317"/>
        <i x="821"/>
        <i x="151"/>
        <i x="54"/>
        <i x="421"/>
        <i x="891"/>
        <i x="965"/>
        <i x="128"/>
        <i x="1130"/>
        <i x="1034"/>
        <i x="952"/>
        <i x="356"/>
        <i x="944"/>
        <i x="973"/>
        <i x="205"/>
        <i x="164"/>
        <i x="488"/>
        <i x="160"/>
        <i x="1123"/>
        <i x="8"/>
        <i x="184"/>
        <i x="748"/>
        <i x="468"/>
        <i x="1151"/>
        <i x="297"/>
        <i x="86"/>
        <i x="1211"/>
        <i x="1201"/>
        <i x="1287"/>
        <i x="350"/>
        <i x="653"/>
        <i x="1243"/>
        <i x="1032"/>
        <i x="1019"/>
        <i x="64"/>
        <i x="718"/>
        <i x="114"/>
        <i x="1153"/>
        <i x="427"/>
        <i x="895"/>
        <i x="1267"/>
        <i x="51"/>
        <i x="1280"/>
        <i x="1228"/>
        <i x="1043"/>
        <i x="1343"/>
        <i x="428"/>
        <i x="739"/>
        <i x="15"/>
        <i x="208"/>
        <i x="325"/>
        <i x="1346"/>
        <i x="933"/>
        <i x="910"/>
        <i x="244"/>
        <i x="61"/>
        <i x="1021"/>
        <i x="1036"/>
        <i x="993"/>
        <i x="585"/>
        <i x="873"/>
        <i x="79"/>
        <i x="28"/>
        <i x="830"/>
        <i x="415"/>
        <i x="797"/>
        <i x="1076"/>
        <i x="123"/>
        <i x="742"/>
        <i x="661"/>
        <i x="1208"/>
        <i x="1146"/>
        <i x="836"/>
        <i x="694"/>
        <i x="206"/>
        <i x="1317"/>
        <i x="1072"/>
        <i x="762"/>
        <i x="1200"/>
        <i x="1289"/>
        <i x="174"/>
        <i x="988"/>
        <i x="514"/>
        <i x="746"/>
        <i x="357"/>
        <i x="838"/>
        <i x="866"/>
        <i x="449"/>
        <i x="644"/>
        <i x="930"/>
        <i x="219"/>
        <i x="422"/>
        <i x="133"/>
        <i x="90"/>
        <i x="607"/>
        <i x="730"/>
        <i x="492"/>
        <i x="693"/>
        <i x="1133"/>
        <i x="599"/>
        <i x="967"/>
        <i x="733"/>
        <i x="768"/>
        <i x="688"/>
        <i x="970"/>
        <i x="1341"/>
        <i x="155"/>
        <i x="715"/>
        <i x="1122"/>
        <i x="619"/>
        <i x="935"/>
        <i x="444"/>
        <i x="598"/>
        <i x="245"/>
        <i x="364"/>
        <i x="744"/>
        <i x="700"/>
        <i x="1298"/>
        <i x="530"/>
        <i x="512"/>
        <i x="1005"/>
        <i x="1056"/>
        <i x="695"/>
        <i x="332"/>
        <i x="442"/>
        <i x="113"/>
        <i x="566"/>
        <i x="522"/>
        <i x="618"/>
        <i x="265"/>
        <i x="306"/>
        <i x="719"/>
        <i x="893"/>
        <i x="409"/>
        <i x="1309"/>
        <i x="22"/>
        <i x="270"/>
        <i x="1342"/>
        <i x="300"/>
        <i x="769"/>
        <i x="218"/>
        <i x="209"/>
        <i x="343"/>
        <i x="702"/>
        <i x="584"/>
        <i x="1135"/>
        <i x="1176"/>
        <i x="1183"/>
        <i x="776"/>
        <i x="915"/>
        <i x="835"/>
        <i x="673"/>
        <i x="1316"/>
        <i x="390"/>
        <i x="1229"/>
        <i x="435"/>
        <i x="74"/>
        <i x="937"/>
        <i x="1090"/>
        <i x="713"/>
        <i x="1296"/>
        <i x="1255"/>
        <i x="920"/>
        <i x="53"/>
        <i x="1190"/>
        <i x="262"/>
        <i x="790"/>
        <i x="87"/>
        <i x="288"/>
        <i x="92"/>
        <i x="1328"/>
        <i x="861"/>
        <i x="650"/>
        <i x="211"/>
        <i x="269"/>
        <i x="423"/>
        <i x="75"/>
        <i x="240"/>
        <i x="919"/>
        <i x="706"/>
        <i x="185"/>
        <i x="1318"/>
        <i x="976"/>
        <i x="791"/>
        <i x="525"/>
        <i x="601"/>
        <i x="95"/>
        <i x="309"/>
        <i x="1094"/>
        <i x="686"/>
        <i x="906"/>
        <i x="413"/>
        <i x="621"/>
        <i x="379"/>
        <i x="1015"/>
        <i x="951"/>
        <i x="62"/>
        <i x="515"/>
        <i x="668"/>
        <i x="1080"/>
        <i x="1108"/>
        <i x="474"/>
        <i x="18"/>
        <i x="1214"/>
        <i x="1107"/>
        <i x="339"/>
        <i x="293"/>
        <i x="1006"/>
        <i x="231"/>
        <i x="852"/>
        <i x="441"/>
        <i x="1206"/>
        <i x="590"/>
        <i x="1007"/>
        <i x="1089"/>
        <i x="954"/>
        <i x="1023"/>
        <i x="397"/>
        <i x="450"/>
        <i x="978"/>
        <i x="1009"/>
        <i x="471"/>
        <i x="368"/>
        <i x="1137"/>
        <i x="568"/>
        <i x="732"/>
        <i x="190"/>
        <i x="941"/>
        <i x="1248"/>
        <i x="432"/>
        <i x="538"/>
        <i x="257"/>
        <i x="890"/>
        <i x="760"/>
        <i x="116"/>
        <i x="989"/>
        <i x="414"/>
        <i x="812"/>
        <i x="307"/>
        <i x="666"/>
        <i x="883"/>
        <i x="583"/>
        <i x="963"/>
        <i x="1250"/>
        <i x="144"/>
        <i x="109"/>
        <i x="679"/>
        <i x="1097"/>
        <i x="677"/>
        <i x="766"/>
        <i x="1053"/>
        <i x="273"/>
        <i x="1098"/>
        <i x="564"/>
        <i x="716"/>
        <i x="755"/>
        <i x="842"/>
        <i x="818"/>
        <i x="417"/>
        <i x="1271"/>
        <i x="625"/>
        <i x="406"/>
        <i x="882"/>
        <i x="103"/>
        <i x="460"/>
        <i x="854"/>
        <i x="851"/>
        <i x="321"/>
        <i x="705"/>
        <i x="560"/>
        <i x="809"/>
        <i x="283"/>
        <i x="847"/>
        <i x="183"/>
        <i x="59"/>
        <i x="863"/>
        <i x="860"/>
        <i x="102"/>
        <i x="1326"/>
        <i x="29"/>
        <i x="182"/>
        <i x="1172"/>
        <i x="264"/>
        <i x="1058"/>
        <i x="233"/>
        <i x="820"/>
        <i x="25"/>
        <i x="516"/>
        <i x="272"/>
        <i x="1274"/>
        <i x="899"/>
        <i x="519"/>
        <i x="869"/>
        <i x="389"/>
        <i x="239"/>
        <i x="227"/>
        <i x="725"/>
        <i x="570"/>
        <i x="318"/>
        <i x="1185"/>
        <i x="1049"/>
        <i x="1232"/>
        <i x="381"/>
        <i x="681"/>
        <i x="1320"/>
        <i x="251"/>
        <i x="456"/>
        <i x="479"/>
        <i x="229"/>
        <i x="120"/>
        <i x="43"/>
        <i x="400"/>
        <i x="1041"/>
        <i x="1050"/>
        <i x="770"/>
        <i x="729"/>
        <i x="1294"/>
        <i x="1070"/>
        <i x="1233"/>
        <i x="950"/>
        <i x="900"/>
        <i x="846"/>
        <i x="1152"/>
        <i x="712"/>
        <i x="865"/>
        <i x="544"/>
        <i x="162"/>
        <i x="802"/>
        <i x="709"/>
        <i x="18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2DEEF24-1784-40DD-B495-D20BC2B5B8F5}" cache="Slicer_Department" caption="Department" rowHeight="234950"/>
  <slicer name="Attrition 1" xr10:uid="{37D572A2-CD92-42F3-AB7C-3B86B996BDEF}" cache="Slicer_Attrition" caption="Attri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4644468-BE54-4359-9E00-3A3B5A2060D6}" cache="Slicer_Department"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84FE1996-AFE3-4CC9-8849-A1F6A9DA08E0}" cache="Slicer_Attrition" caption="Attrit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Income" xr10:uid="{BF60C839-FF4A-4B18-B393-5C85F053C6A2}" cache="Slicer_MonthlyIncome" caption="MonthlyIncome" startItem="2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2479A-1B7D-4847-B1C6-FC65FC178957}" name="HrData" displayName="HrData" ref="A1:AJ1471" totalsRowShown="0">
  <autoFilter ref="A1:AJ1471" xr:uid="{43A2479A-1B7D-4847-B1C6-FC65FC178957}"/>
  <tableColumns count="36">
    <tableColumn id="1" xr3:uid="{4050AB36-B82F-4B19-B250-C2F2677C63DB}" name="Age"/>
    <tableColumn id="2" xr3:uid="{E8A5D6A2-C60B-47A2-999E-1FA09467B0B6}" name="Attrition"/>
    <tableColumn id="3" xr3:uid="{1BA038A0-8290-46A5-A912-9898E7FCB97F}" name="BusinessTravel"/>
    <tableColumn id="4" xr3:uid="{DECA4E9C-9734-4973-B4C3-9C8FB2CB05BB}" name="DailyRate"/>
    <tableColumn id="5" xr3:uid="{8E3B7B40-2ABA-4A6C-922B-F300350F65FE}" name="Department"/>
    <tableColumn id="6" xr3:uid="{262A6671-BEDC-4432-87D7-CA8ACC15FA4E}" name="DistanceFromHome"/>
    <tableColumn id="7" xr3:uid="{D724B9C7-9677-4372-B150-314AF2CBBA96}" name="Education"/>
    <tableColumn id="8" xr3:uid="{34D1ED40-FA95-403C-96C8-94D8B95F71C3}" name="EducationField"/>
    <tableColumn id="9" xr3:uid="{257F4CA9-A36E-48F6-9F34-AC1928BCD987}" name="EmployeeCount"/>
    <tableColumn id="10" xr3:uid="{EE3C2D83-5AFB-40EC-A157-F89605268FE9}" name="EmployeeNumber"/>
    <tableColumn id="11" xr3:uid="{8FA22BD7-FA46-4296-A923-F6B966809020}" name="EnvironmentSatisfaction"/>
    <tableColumn id="12" xr3:uid="{38EF5791-8DEB-43F4-9A8B-02757EF49B1B}" name="Gender"/>
    <tableColumn id="13" xr3:uid="{5F122132-F63F-4692-8702-D1DD98CCA924}" name="HourlyRate"/>
    <tableColumn id="14" xr3:uid="{5AC4FC22-2DE7-44AA-B1AA-A40F5CE5C027}" name="JobInvolvement"/>
    <tableColumn id="15" xr3:uid="{986E6E9E-4012-463D-9E8A-46589F4C5723}" name="JobLevel"/>
    <tableColumn id="16" xr3:uid="{1B6AE69E-53CC-4C85-B3A0-497D5405B685}" name="JobRole"/>
    <tableColumn id="17" xr3:uid="{FBF85742-60C7-46D6-84E6-E03DB8817C87}" name="JobSatisfaction"/>
    <tableColumn id="18" xr3:uid="{6AE023F0-2618-4F35-AC95-FE8D277595C0}" name="MaritalStatus"/>
    <tableColumn id="19" xr3:uid="{3DCE1EF4-D7F4-414A-AB1D-102B7A82DA3E}" name="MonthlyIncome"/>
    <tableColumn id="20" xr3:uid="{B52D9952-5776-4032-98C8-3716574CB487}" name="MonthlyRate"/>
    <tableColumn id="21" xr3:uid="{70C09722-44EE-406D-BAF5-D508A3151CAC}" name="NumCompaniesWorked"/>
    <tableColumn id="22" xr3:uid="{8BC16ACA-6DF8-479B-B5C2-D144D9477BA1}" name="Over18"/>
    <tableColumn id="23" xr3:uid="{5B0431CA-A341-4388-BB4B-9D3199D9CE6C}" name="OverTime"/>
    <tableColumn id="24" xr3:uid="{3F56029E-A94E-4142-AFE4-F82D3AF7C682}" name="PercentSalaryHike"/>
    <tableColumn id="25" xr3:uid="{30DC3928-6D1E-4E75-8AC2-CF96D8599591}" name="PerformanceRating"/>
    <tableColumn id="26" xr3:uid="{EEAF79DC-BE46-41D9-853B-F1B0AF8D7B28}" name="RelationshipSatisfaction"/>
    <tableColumn id="27" xr3:uid="{D0C1274E-6F0C-4B81-B8A5-66EA579B4D22}" name="StandardHours"/>
    <tableColumn id="28" xr3:uid="{252E9D84-A389-473F-B8EB-8F30C95E9126}" name="StockOptionLevel"/>
    <tableColumn id="29" xr3:uid="{85B6ACC0-8404-44AC-8F5D-8245523BC4FD}" name="TotalWorkingYears"/>
    <tableColumn id="30" xr3:uid="{5841984B-7308-4B1A-A133-4E40947CC587}" name="TrainingTimesLastYear"/>
    <tableColumn id="31" xr3:uid="{409C24AA-BE3F-484E-ACE8-06DD4076BA33}" name="WorkLifeBalance"/>
    <tableColumn id="32" xr3:uid="{645AAC3B-3D23-43F6-939B-95601C7F9512}" name="YearsAtCompany"/>
    <tableColumn id="33" xr3:uid="{4F50D3B1-9938-430B-A14F-F0555C2BF68A}" name="YearsInCurrentRole"/>
    <tableColumn id="34" xr3:uid="{B9608772-794A-4618-BECA-8C1E972C7D22}" name="YearsSinceLastPromotion"/>
    <tableColumn id="35" xr3:uid="{CEA9DD90-AAED-445C-8E28-C02B4A252CDA}" name="YearsWithCurrManager"/>
    <tableColumn id="36" xr3:uid="{BA78FCA5-5EC7-49A0-BDFA-6F20F14765CB}" name="TenureBand" dataDxfId="0">
      <calculatedColumnFormula array="1">_xlfn.IFS(HrData[[#This Row],[YearsAtCompany]]&lt;=2,"0-2 yrs",HrData[[#This Row],[YearsAtCompany]]&lt;=5,"3-5 yrs",TRUE,"5+ yrs")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D693-23E8-4E16-80D9-F92B87148685}">
  <dimension ref="A1:E1"/>
  <sheetViews>
    <sheetView tabSelected="1" workbookViewId="0">
      <selection activeCell="F3" sqref="F3"/>
    </sheetView>
  </sheetViews>
  <sheetFormatPr defaultRowHeight="18" x14ac:dyDescent="0.5"/>
  <cols>
    <col min="1" max="1" width="28.21875" customWidth="1"/>
    <col min="2" max="2" width="20.109375" customWidth="1"/>
    <col min="3" max="3" width="22.21875" customWidth="1"/>
  </cols>
  <sheetData>
    <row r="1" spans="1:5" x14ac:dyDescent="0.5">
      <c r="A1" s="8" t="s">
        <v>84</v>
      </c>
      <c r="D1" s="7"/>
      <c r="E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2E29-B891-422B-BE13-A43993AB09CE}">
  <dimension ref="A3:C6"/>
  <sheetViews>
    <sheetView workbookViewId="0">
      <selection activeCell="F7" sqref="F7"/>
    </sheetView>
  </sheetViews>
  <sheetFormatPr defaultRowHeight="18" x14ac:dyDescent="0.5"/>
  <cols>
    <col min="1" max="1" width="27.88671875" bestFit="1" customWidth="1"/>
    <col min="2" max="2" width="18.44140625" bestFit="1" customWidth="1"/>
    <col min="3" max="3" width="19.5546875" bestFit="1" customWidth="1"/>
    <col min="4" max="4" width="16.88671875" customWidth="1"/>
    <col min="5" max="5" width="7" bestFit="1" customWidth="1"/>
    <col min="6" max="6" width="20.6640625" bestFit="1" customWidth="1"/>
    <col min="7" max="7" width="21.77734375" bestFit="1" customWidth="1"/>
  </cols>
  <sheetData>
    <row r="3" spans="1:3" x14ac:dyDescent="0.5">
      <c r="A3" s="3" t="s">
        <v>79</v>
      </c>
      <c r="B3" t="s">
        <v>81</v>
      </c>
      <c r="C3" t="s">
        <v>82</v>
      </c>
    </row>
    <row r="4" spans="1:3" x14ac:dyDescent="0.5">
      <c r="A4" s="4" t="s">
        <v>45</v>
      </c>
      <c r="B4">
        <v>1</v>
      </c>
      <c r="C4" s="1">
        <v>1</v>
      </c>
    </row>
    <row r="5" spans="1:3" x14ac:dyDescent="0.5">
      <c r="A5" s="5" t="s">
        <v>35</v>
      </c>
      <c r="B5">
        <v>1</v>
      </c>
      <c r="C5" s="1">
        <v>1</v>
      </c>
    </row>
    <row r="6" spans="1:3" x14ac:dyDescent="0.5">
      <c r="A6" s="4" t="s">
        <v>80</v>
      </c>
      <c r="B6">
        <v>1</v>
      </c>
      <c r="C6" s="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219C2-F798-40D3-89E8-E901D9635F13}">
  <dimension ref="A3:C6"/>
  <sheetViews>
    <sheetView workbookViewId="0">
      <selection activeCell="C6" sqref="C6"/>
    </sheetView>
  </sheetViews>
  <sheetFormatPr defaultRowHeight="18" x14ac:dyDescent="0.5"/>
  <cols>
    <col min="1" max="1" width="14" bestFit="1" customWidth="1"/>
    <col min="2" max="2" width="18.44140625" bestFit="1" customWidth="1"/>
    <col min="3" max="3" width="19.5546875" bestFit="1" customWidth="1"/>
  </cols>
  <sheetData>
    <row r="3" spans="1:3" x14ac:dyDescent="0.5">
      <c r="A3" s="3" t="s">
        <v>79</v>
      </c>
      <c r="B3" t="s">
        <v>81</v>
      </c>
      <c r="C3" t="s">
        <v>82</v>
      </c>
    </row>
    <row r="4" spans="1:3" x14ac:dyDescent="0.5">
      <c r="A4" s="4">
        <v>1</v>
      </c>
      <c r="B4">
        <v>1</v>
      </c>
      <c r="C4" s="1">
        <v>1</v>
      </c>
    </row>
    <row r="5" spans="1:3" x14ac:dyDescent="0.5">
      <c r="A5" s="5" t="s">
        <v>35</v>
      </c>
      <c r="B5">
        <v>1</v>
      </c>
      <c r="C5" s="1">
        <v>1</v>
      </c>
    </row>
    <row r="6" spans="1:3" x14ac:dyDescent="0.5">
      <c r="A6" s="4" t="s">
        <v>80</v>
      </c>
      <c r="B6">
        <v>1</v>
      </c>
      <c r="C6" s="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BCBCC-D25E-4647-8854-EE70285DC854}">
  <dimension ref="A3:B5"/>
  <sheetViews>
    <sheetView workbookViewId="0">
      <selection activeCell="B5" sqref="B5"/>
    </sheetView>
  </sheetViews>
  <sheetFormatPr defaultRowHeight="18" x14ac:dyDescent="0.5"/>
  <cols>
    <col min="1" max="1" width="14" bestFit="1" customWidth="1"/>
    <col min="2" max="2" width="27.109375" bestFit="1" customWidth="1"/>
  </cols>
  <sheetData>
    <row r="3" spans="1:2" x14ac:dyDescent="0.5">
      <c r="A3" s="3" t="s">
        <v>79</v>
      </c>
      <c r="B3" t="s">
        <v>83</v>
      </c>
    </row>
    <row r="4" spans="1:2" x14ac:dyDescent="0.5">
      <c r="A4" s="4" t="s">
        <v>35</v>
      </c>
      <c r="B4" s="6">
        <v>1601</v>
      </c>
    </row>
    <row r="5" spans="1:2" x14ac:dyDescent="0.5">
      <c r="A5" s="4" t="s">
        <v>80</v>
      </c>
      <c r="B5" s="6">
        <v>1601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0D15-7003-4104-B697-3A86A470CC36}">
  <dimension ref="A1:AJ1471"/>
  <sheetViews>
    <sheetView workbookViewId="0">
      <selection activeCell="I2" sqref="I2"/>
    </sheetView>
  </sheetViews>
  <sheetFormatPr defaultRowHeight="18" x14ac:dyDescent="0.5"/>
  <cols>
    <col min="2" max="2" width="9.88671875" customWidth="1"/>
    <col min="3" max="3" width="15.109375" customWidth="1"/>
    <col min="4" max="4" width="10.77734375" customWidth="1"/>
    <col min="5" max="5" width="28.109375"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 min="36" max="36" width="12.5546875" customWidth="1"/>
  </cols>
  <sheetData>
    <row r="1" spans="1:36"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row>
    <row r="2" spans="1:36" x14ac:dyDescent="0.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cm="1">
        <f t="array" ref="AJ2">_xlfn.IFS(HrData[[#This Row],[YearsAtCompany]]&lt;=2,"0-2 yrs",HrData[[#This Row],[YearsAtCompany]]&lt;=5,"3-5 yrs",TRUE,"5+ yrs")</f>
        <v>5+ yrs</v>
      </c>
    </row>
    <row r="3" spans="1:36" x14ac:dyDescent="0.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cm="1">
        <f t="array" ref="AJ3">_xlfn.IFS(HrData[[#This Row],[YearsAtCompany]]&lt;=2,"0-2 yrs",HrData[[#This Row],[YearsAtCompany]]&lt;=5,"3-5 yrs",TRUE,"5+ yrs")</f>
        <v>5+ yrs</v>
      </c>
    </row>
    <row r="4" spans="1:36" x14ac:dyDescent="0.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cm="1">
        <f t="array" ref="AJ4">_xlfn.IFS(HrData[[#This Row],[YearsAtCompany]]&lt;=2,"0-2 yrs",HrData[[#This Row],[YearsAtCompany]]&lt;=5,"3-5 yrs",TRUE,"5+ yrs")</f>
        <v>0-2 yrs</v>
      </c>
    </row>
    <row r="5" spans="1:36" x14ac:dyDescent="0.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cm="1">
        <f t="array" ref="AJ5">_xlfn.IFS(HrData[[#This Row],[YearsAtCompany]]&lt;=2,"0-2 yrs",HrData[[#This Row],[YearsAtCompany]]&lt;=5,"3-5 yrs",TRUE,"5+ yrs")</f>
        <v>5+ yrs</v>
      </c>
    </row>
    <row r="6" spans="1:36" x14ac:dyDescent="0.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cm="1">
        <f t="array" ref="AJ6">_xlfn.IFS(HrData[[#This Row],[YearsAtCompany]]&lt;=2,"0-2 yrs",HrData[[#This Row],[YearsAtCompany]]&lt;=5,"3-5 yrs",TRUE,"5+ yrs")</f>
        <v>0-2 yrs</v>
      </c>
    </row>
    <row r="7" spans="1:36" x14ac:dyDescent="0.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cm="1">
        <f t="array" ref="AJ7">_xlfn.IFS(HrData[[#This Row],[YearsAtCompany]]&lt;=2,"0-2 yrs",HrData[[#This Row],[YearsAtCompany]]&lt;=5,"3-5 yrs",TRUE,"5+ yrs")</f>
        <v>5+ yrs</v>
      </c>
    </row>
    <row r="8" spans="1:36" x14ac:dyDescent="0.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cm="1">
        <f t="array" ref="AJ8">_xlfn.IFS(HrData[[#This Row],[YearsAtCompany]]&lt;=2,"0-2 yrs",HrData[[#This Row],[YearsAtCompany]]&lt;=5,"3-5 yrs",TRUE,"5+ yrs")</f>
        <v>0-2 yrs</v>
      </c>
    </row>
    <row r="9" spans="1:36" x14ac:dyDescent="0.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cm="1">
        <f t="array" ref="AJ9">_xlfn.IFS(HrData[[#This Row],[YearsAtCompany]]&lt;=2,"0-2 yrs",HrData[[#This Row],[YearsAtCompany]]&lt;=5,"3-5 yrs",TRUE,"5+ yrs")</f>
        <v>0-2 yrs</v>
      </c>
    </row>
    <row r="10" spans="1:36" x14ac:dyDescent="0.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cm="1">
        <f t="array" ref="AJ10">_xlfn.IFS(HrData[[#This Row],[YearsAtCompany]]&lt;=2,"0-2 yrs",HrData[[#This Row],[YearsAtCompany]]&lt;=5,"3-5 yrs",TRUE,"5+ yrs")</f>
        <v>5+ yrs</v>
      </c>
    </row>
    <row r="11" spans="1:36" x14ac:dyDescent="0.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cm="1">
        <f t="array" ref="AJ11">_xlfn.IFS(HrData[[#This Row],[YearsAtCompany]]&lt;=2,"0-2 yrs",HrData[[#This Row],[YearsAtCompany]]&lt;=5,"3-5 yrs",TRUE,"5+ yrs")</f>
        <v>5+ yrs</v>
      </c>
    </row>
    <row r="12" spans="1:36" x14ac:dyDescent="0.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cm="1">
        <f t="array" ref="AJ12">_xlfn.IFS(HrData[[#This Row],[YearsAtCompany]]&lt;=2,"0-2 yrs",HrData[[#This Row],[YearsAtCompany]]&lt;=5,"3-5 yrs",TRUE,"5+ yrs")</f>
        <v>3-5 yrs</v>
      </c>
    </row>
    <row r="13" spans="1:36" x14ac:dyDescent="0.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cm="1">
        <f t="array" ref="AJ13">_xlfn.IFS(HrData[[#This Row],[YearsAtCompany]]&lt;=2,"0-2 yrs",HrData[[#This Row],[YearsAtCompany]]&lt;=5,"3-5 yrs",TRUE,"5+ yrs")</f>
        <v>5+ yrs</v>
      </c>
    </row>
    <row r="14" spans="1:36" x14ac:dyDescent="0.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cm="1">
        <f t="array" ref="AJ14">_xlfn.IFS(HrData[[#This Row],[YearsAtCompany]]&lt;=2,"0-2 yrs",HrData[[#This Row],[YearsAtCompany]]&lt;=5,"3-5 yrs",TRUE,"5+ yrs")</f>
        <v>3-5 yrs</v>
      </c>
    </row>
    <row r="15" spans="1:36" x14ac:dyDescent="0.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cm="1">
        <f t="array" ref="AJ15">_xlfn.IFS(HrData[[#This Row],[YearsAtCompany]]&lt;=2,"0-2 yrs",HrData[[#This Row],[YearsAtCompany]]&lt;=5,"3-5 yrs",TRUE,"5+ yrs")</f>
        <v>0-2 yrs</v>
      </c>
    </row>
    <row r="16" spans="1:36" x14ac:dyDescent="0.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cm="1">
        <f t="array" ref="AJ16">_xlfn.IFS(HrData[[#This Row],[YearsAtCompany]]&lt;=2,"0-2 yrs",HrData[[#This Row],[YearsAtCompany]]&lt;=5,"3-5 yrs",TRUE,"5+ yrs")</f>
        <v>3-5 yrs</v>
      </c>
    </row>
    <row r="17" spans="1:36" x14ac:dyDescent="0.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cm="1">
        <f t="array" ref="AJ17">_xlfn.IFS(HrData[[#This Row],[YearsAtCompany]]&lt;=2,"0-2 yrs",HrData[[#This Row],[YearsAtCompany]]&lt;=5,"3-5 yrs",TRUE,"5+ yrs")</f>
        <v>5+ yrs</v>
      </c>
    </row>
    <row r="18" spans="1:36" x14ac:dyDescent="0.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cm="1">
        <f t="array" ref="AJ18">_xlfn.IFS(HrData[[#This Row],[YearsAtCompany]]&lt;=2,"0-2 yrs",HrData[[#This Row],[YearsAtCompany]]&lt;=5,"3-5 yrs",TRUE,"5+ yrs")</f>
        <v>5+ yrs</v>
      </c>
    </row>
    <row r="19" spans="1:36" x14ac:dyDescent="0.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cm="1">
        <f t="array" ref="AJ19">_xlfn.IFS(HrData[[#This Row],[YearsAtCompany]]&lt;=2,"0-2 yrs",HrData[[#This Row],[YearsAtCompany]]&lt;=5,"3-5 yrs",TRUE,"5+ yrs")</f>
        <v>0-2 yrs</v>
      </c>
    </row>
    <row r="20" spans="1:36" x14ac:dyDescent="0.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cm="1">
        <f t="array" ref="AJ20">_xlfn.IFS(HrData[[#This Row],[YearsAtCompany]]&lt;=2,"0-2 yrs",HrData[[#This Row],[YearsAtCompany]]&lt;=5,"3-5 yrs",TRUE,"5+ yrs")</f>
        <v>5+ yrs</v>
      </c>
    </row>
    <row r="21" spans="1:36" x14ac:dyDescent="0.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cm="1">
        <f t="array" ref="AJ21">_xlfn.IFS(HrData[[#This Row],[YearsAtCompany]]&lt;=2,"0-2 yrs",HrData[[#This Row],[YearsAtCompany]]&lt;=5,"3-5 yrs",TRUE,"5+ yrs")</f>
        <v>3-5 yrs</v>
      </c>
    </row>
    <row r="22" spans="1:36" x14ac:dyDescent="0.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cm="1">
        <f t="array" ref="AJ22">_xlfn.IFS(HrData[[#This Row],[YearsAtCompany]]&lt;=2,"0-2 yrs",HrData[[#This Row],[YearsAtCompany]]&lt;=5,"3-5 yrs",TRUE,"5+ yrs")</f>
        <v>3-5 yrs</v>
      </c>
    </row>
    <row r="23" spans="1:36" x14ac:dyDescent="0.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cm="1">
        <f t="array" ref="AJ23">_xlfn.IFS(HrData[[#This Row],[YearsAtCompany]]&lt;=2,"0-2 yrs",HrData[[#This Row],[YearsAtCompany]]&lt;=5,"3-5 yrs",TRUE,"5+ yrs")</f>
        <v>3-5 yrs</v>
      </c>
    </row>
    <row r="24" spans="1:36" x14ac:dyDescent="0.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cm="1">
        <f t="array" ref="AJ24">_xlfn.IFS(HrData[[#This Row],[YearsAtCompany]]&lt;=2,"0-2 yrs",HrData[[#This Row],[YearsAtCompany]]&lt;=5,"3-5 yrs",TRUE,"5+ yrs")</f>
        <v>5+ yrs</v>
      </c>
    </row>
    <row r="25" spans="1:36" x14ac:dyDescent="0.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cm="1">
        <f t="array" ref="AJ25">_xlfn.IFS(HrData[[#This Row],[YearsAtCompany]]&lt;=2,"0-2 yrs",HrData[[#This Row],[YearsAtCompany]]&lt;=5,"3-5 yrs",TRUE,"5+ yrs")</f>
        <v>0-2 yrs</v>
      </c>
    </row>
    <row r="26" spans="1:36" x14ac:dyDescent="0.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cm="1">
        <f t="array" ref="AJ26">_xlfn.IFS(HrData[[#This Row],[YearsAtCompany]]&lt;=2,"0-2 yrs",HrData[[#This Row],[YearsAtCompany]]&lt;=5,"3-5 yrs",TRUE,"5+ yrs")</f>
        <v>3-5 yrs</v>
      </c>
    </row>
    <row r="27" spans="1:36" x14ac:dyDescent="0.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cm="1">
        <f t="array" ref="AJ27">_xlfn.IFS(HrData[[#This Row],[YearsAtCompany]]&lt;=2,"0-2 yrs",HrData[[#This Row],[YearsAtCompany]]&lt;=5,"3-5 yrs",TRUE,"5+ yrs")</f>
        <v>5+ yrs</v>
      </c>
    </row>
    <row r="28" spans="1:36" x14ac:dyDescent="0.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cm="1">
        <f t="array" ref="AJ28">_xlfn.IFS(HrData[[#This Row],[YearsAtCompany]]&lt;=2,"0-2 yrs",HrData[[#This Row],[YearsAtCompany]]&lt;=5,"3-5 yrs",TRUE,"5+ yrs")</f>
        <v>5+ yrs</v>
      </c>
    </row>
    <row r="29" spans="1:36" x14ac:dyDescent="0.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cm="1">
        <f t="array" ref="AJ29">_xlfn.IFS(HrData[[#This Row],[YearsAtCompany]]&lt;=2,"0-2 yrs",HrData[[#This Row],[YearsAtCompany]]&lt;=5,"3-5 yrs",TRUE,"5+ yrs")</f>
        <v>5+ yrs</v>
      </c>
    </row>
    <row r="30" spans="1:36" x14ac:dyDescent="0.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cm="1">
        <f t="array" ref="AJ30">_xlfn.IFS(HrData[[#This Row],[YearsAtCompany]]&lt;=2,"0-2 yrs",HrData[[#This Row],[YearsAtCompany]]&lt;=5,"3-5 yrs",TRUE,"5+ yrs")</f>
        <v>5+ yrs</v>
      </c>
    </row>
    <row r="31" spans="1:36" x14ac:dyDescent="0.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cm="1">
        <f t="array" ref="AJ31">_xlfn.IFS(HrData[[#This Row],[YearsAtCompany]]&lt;=2,"0-2 yrs",HrData[[#This Row],[YearsAtCompany]]&lt;=5,"3-5 yrs",TRUE,"5+ yrs")</f>
        <v>0-2 yrs</v>
      </c>
    </row>
    <row r="32" spans="1:36" x14ac:dyDescent="0.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cm="1">
        <f t="array" ref="AJ32">_xlfn.IFS(HrData[[#This Row],[YearsAtCompany]]&lt;=2,"0-2 yrs",HrData[[#This Row],[YearsAtCompany]]&lt;=5,"3-5 yrs",TRUE,"5+ yrs")</f>
        <v>0-2 yrs</v>
      </c>
    </row>
    <row r="33" spans="1:36" x14ac:dyDescent="0.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cm="1">
        <f t="array" ref="AJ33">_xlfn.IFS(HrData[[#This Row],[YearsAtCompany]]&lt;=2,"0-2 yrs",HrData[[#This Row],[YearsAtCompany]]&lt;=5,"3-5 yrs",TRUE,"5+ yrs")</f>
        <v>3-5 yrs</v>
      </c>
    </row>
    <row r="34" spans="1:36" x14ac:dyDescent="0.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cm="1">
        <f t="array" ref="AJ34">_xlfn.IFS(HrData[[#This Row],[YearsAtCompany]]&lt;=2,"0-2 yrs",HrData[[#This Row],[YearsAtCompany]]&lt;=5,"3-5 yrs",TRUE,"5+ yrs")</f>
        <v>5+ yrs</v>
      </c>
    </row>
    <row r="35" spans="1:36" x14ac:dyDescent="0.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cm="1">
        <f t="array" ref="AJ35">_xlfn.IFS(HrData[[#This Row],[YearsAtCompany]]&lt;=2,"0-2 yrs",HrData[[#This Row],[YearsAtCompany]]&lt;=5,"3-5 yrs",TRUE,"5+ yrs")</f>
        <v>0-2 yrs</v>
      </c>
    </row>
    <row r="36" spans="1:36" x14ac:dyDescent="0.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cm="1">
        <f t="array" ref="AJ36">_xlfn.IFS(HrData[[#This Row],[YearsAtCompany]]&lt;=2,"0-2 yrs",HrData[[#This Row],[YearsAtCompany]]&lt;=5,"3-5 yrs",TRUE,"5+ yrs")</f>
        <v>0-2 yrs</v>
      </c>
    </row>
    <row r="37" spans="1:36" x14ac:dyDescent="0.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cm="1">
        <f t="array" ref="AJ37">_xlfn.IFS(HrData[[#This Row],[YearsAtCompany]]&lt;=2,"0-2 yrs",HrData[[#This Row],[YearsAtCompany]]&lt;=5,"3-5 yrs",TRUE,"5+ yrs")</f>
        <v>3-5 yrs</v>
      </c>
    </row>
    <row r="38" spans="1:36" x14ac:dyDescent="0.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cm="1">
        <f t="array" ref="AJ38">_xlfn.IFS(HrData[[#This Row],[YearsAtCompany]]&lt;=2,"0-2 yrs",HrData[[#This Row],[YearsAtCompany]]&lt;=5,"3-5 yrs",TRUE,"5+ yrs")</f>
        <v>3-5 yrs</v>
      </c>
    </row>
    <row r="39" spans="1:36" x14ac:dyDescent="0.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cm="1">
        <f t="array" ref="AJ39">_xlfn.IFS(HrData[[#This Row],[YearsAtCompany]]&lt;=2,"0-2 yrs",HrData[[#This Row],[YearsAtCompany]]&lt;=5,"3-5 yrs",TRUE,"5+ yrs")</f>
        <v>0-2 yrs</v>
      </c>
    </row>
    <row r="40" spans="1:36" x14ac:dyDescent="0.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cm="1">
        <f t="array" ref="AJ40">_xlfn.IFS(HrData[[#This Row],[YearsAtCompany]]&lt;=2,"0-2 yrs",HrData[[#This Row],[YearsAtCompany]]&lt;=5,"3-5 yrs",TRUE,"5+ yrs")</f>
        <v>0-2 yrs</v>
      </c>
    </row>
    <row r="41" spans="1:36" x14ac:dyDescent="0.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cm="1">
        <f t="array" ref="AJ41">_xlfn.IFS(HrData[[#This Row],[YearsAtCompany]]&lt;=2,"0-2 yrs",HrData[[#This Row],[YearsAtCompany]]&lt;=5,"3-5 yrs",TRUE,"5+ yrs")</f>
        <v>3-5 yrs</v>
      </c>
    </row>
    <row r="42" spans="1:36" x14ac:dyDescent="0.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cm="1">
        <f t="array" ref="AJ42">_xlfn.IFS(HrData[[#This Row],[YearsAtCompany]]&lt;=2,"0-2 yrs",HrData[[#This Row],[YearsAtCompany]]&lt;=5,"3-5 yrs",TRUE,"5+ yrs")</f>
        <v>0-2 yrs</v>
      </c>
    </row>
    <row r="43" spans="1:36" x14ac:dyDescent="0.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cm="1">
        <f t="array" ref="AJ43">_xlfn.IFS(HrData[[#This Row],[YearsAtCompany]]&lt;=2,"0-2 yrs",HrData[[#This Row],[YearsAtCompany]]&lt;=5,"3-5 yrs",TRUE,"5+ yrs")</f>
        <v>0-2 yrs</v>
      </c>
    </row>
    <row r="44" spans="1:36" x14ac:dyDescent="0.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cm="1">
        <f t="array" ref="AJ44">_xlfn.IFS(HrData[[#This Row],[YearsAtCompany]]&lt;=2,"0-2 yrs",HrData[[#This Row],[YearsAtCompany]]&lt;=5,"3-5 yrs",TRUE,"5+ yrs")</f>
        <v>0-2 yrs</v>
      </c>
    </row>
    <row r="45" spans="1:36" x14ac:dyDescent="0.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cm="1">
        <f t="array" ref="AJ45">_xlfn.IFS(HrData[[#This Row],[YearsAtCompany]]&lt;=2,"0-2 yrs",HrData[[#This Row],[YearsAtCompany]]&lt;=5,"3-5 yrs",TRUE,"5+ yrs")</f>
        <v>5+ yrs</v>
      </c>
    </row>
    <row r="46" spans="1:36" x14ac:dyDescent="0.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cm="1">
        <f t="array" ref="AJ46">_xlfn.IFS(HrData[[#This Row],[YearsAtCompany]]&lt;=2,"0-2 yrs",HrData[[#This Row],[YearsAtCompany]]&lt;=5,"3-5 yrs",TRUE,"5+ yrs")</f>
        <v>5+ yrs</v>
      </c>
    </row>
    <row r="47" spans="1:36" x14ac:dyDescent="0.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cm="1">
        <f t="array" ref="AJ47">_xlfn.IFS(HrData[[#This Row],[YearsAtCompany]]&lt;=2,"0-2 yrs",HrData[[#This Row],[YearsAtCompany]]&lt;=5,"3-5 yrs",TRUE,"5+ yrs")</f>
        <v>5+ yrs</v>
      </c>
    </row>
    <row r="48" spans="1:36" x14ac:dyDescent="0.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cm="1">
        <f t="array" ref="AJ48">_xlfn.IFS(HrData[[#This Row],[YearsAtCompany]]&lt;=2,"0-2 yrs",HrData[[#This Row],[YearsAtCompany]]&lt;=5,"3-5 yrs",TRUE,"5+ yrs")</f>
        <v>5+ yrs</v>
      </c>
    </row>
    <row r="49" spans="1:36" x14ac:dyDescent="0.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cm="1">
        <f t="array" ref="AJ49">_xlfn.IFS(HrData[[#This Row],[YearsAtCompany]]&lt;=2,"0-2 yrs",HrData[[#This Row],[YearsAtCompany]]&lt;=5,"3-5 yrs",TRUE,"5+ yrs")</f>
        <v>0-2 yrs</v>
      </c>
    </row>
    <row r="50" spans="1:36" x14ac:dyDescent="0.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cm="1">
        <f t="array" ref="AJ50">_xlfn.IFS(HrData[[#This Row],[YearsAtCompany]]&lt;=2,"0-2 yrs",HrData[[#This Row],[YearsAtCompany]]&lt;=5,"3-5 yrs",TRUE,"5+ yrs")</f>
        <v>5+ yrs</v>
      </c>
    </row>
    <row r="51" spans="1:36" x14ac:dyDescent="0.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cm="1">
        <f t="array" ref="AJ51">_xlfn.IFS(HrData[[#This Row],[YearsAtCompany]]&lt;=2,"0-2 yrs",HrData[[#This Row],[YearsAtCompany]]&lt;=5,"3-5 yrs",TRUE,"5+ yrs")</f>
        <v>0-2 yrs</v>
      </c>
    </row>
    <row r="52" spans="1:36" x14ac:dyDescent="0.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cm="1">
        <f t="array" ref="AJ52">_xlfn.IFS(HrData[[#This Row],[YearsAtCompany]]&lt;=2,"0-2 yrs",HrData[[#This Row],[YearsAtCompany]]&lt;=5,"3-5 yrs",TRUE,"5+ yrs")</f>
        <v>0-2 yrs</v>
      </c>
    </row>
    <row r="53" spans="1:36" x14ac:dyDescent="0.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cm="1">
        <f t="array" ref="AJ53">_xlfn.IFS(HrData[[#This Row],[YearsAtCompany]]&lt;=2,"0-2 yrs",HrData[[#This Row],[YearsAtCompany]]&lt;=5,"3-5 yrs",TRUE,"5+ yrs")</f>
        <v>0-2 yrs</v>
      </c>
    </row>
    <row r="54" spans="1:36" x14ac:dyDescent="0.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cm="1">
        <f t="array" ref="AJ54">_xlfn.IFS(HrData[[#This Row],[YearsAtCompany]]&lt;=2,"0-2 yrs",HrData[[#This Row],[YearsAtCompany]]&lt;=5,"3-5 yrs",TRUE,"5+ yrs")</f>
        <v>3-5 yrs</v>
      </c>
    </row>
    <row r="55" spans="1:36" x14ac:dyDescent="0.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cm="1">
        <f t="array" ref="AJ55">_xlfn.IFS(HrData[[#This Row],[YearsAtCompany]]&lt;=2,"0-2 yrs",HrData[[#This Row],[YearsAtCompany]]&lt;=5,"3-5 yrs",TRUE,"5+ yrs")</f>
        <v>3-5 yrs</v>
      </c>
    </row>
    <row r="56" spans="1:36" x14ac:dyDescent="0.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cm="1">
        <f t="array" ref="AJ56">_xlfn.IFS(HrData[[#This Row],[YearsAtCompany]]&lt;=2,"0-2 yrs",HrData[[#This Row],[YearsAtCompany]]&lt;=5,"3-5 yrs",TRUE,"5+ yrs")</f>
        <v>0-2 yrs</v>
      </c>
    </row>
    <row r="57" spans="1:36" x14ac:dyDescent="0.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cm="1">
        <f t="array" ref="AJ57">_xlfn.IFS(HrData[[#This Row],[YearsAtCompany]]&lt;=2,"0-2 yrs",HrData[[#This Row],[YearsAtCompany]]&lt;=5,"3-5 yrs",TRUE,"5+ yrs")</f>
        <v>5+ yrs</v>
      </c>
    </row>
    <row r="58" spans="1:36" x14ac:dyDescent="0.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cm="1">
        <f t="array" ref="AJ58">_xlfn.IFS(HrData[[#This Row],[YearsAtCompany]]&lt;=2,"0-2 yrs",HrData[[#This Row],[YearsAtCompany]]&lt;=5,"3-5 yrs",TRUE,"5+ yrs")</f>
        <v>5+ yrs</v>
      </c>
    </row>
    <row r="59" spans="1:36" x14ac:dyDescent="0.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cm="1">
        <f t="array" ref="AJ59">_xlfn.IFS(HrData[[#This Row],[YearsAtCompany]]&lt;=2,"0-2 yrs",HrData[[#This Row],[YearsAtCompany]]&lt;=5,"3-5 yrs",TRUE,"5+ yrs")</f>
        <v>0-2 yrs</v>
      </c>
    </row>
    <row r="60" spans="1:36" x14ac:dyDescent="0.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cm="1">
        <f t="array" ref="AJ60">_xlfn.IFS(HrData[[#This Row],[YearsAtCompany]]&lt;=2,"0-2 yrs",HrData[[#This Row],[YearsAtCompany]]&lt;=5,"3-5 yrs",TRUE,"5+ yrs")</f>
        <v>5+ yrs</v>
      </c>
    </row>
    <row r="61" spans="1:36" x14ac:dyDescent="0.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cm="1">
        <f t="array" ref="AJ61">_xlfn.IFS(HrData[[#This Row],[YearsAtCompany]]&lt;=2,"0-2 yrs",HrData[[#This Row],[YearsAtCompany]]&lt;=5,"3-5 yrs",TRUE,"5+ yrs")</f>
        <v>5+ yrs</v>
      </c>
    </row>
    <row r="62" spans="1:36" x14ac:dyDescent="0.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cm="1">
        <f t="array" ref="AJ62">_xlfn.IFS(HrData[[#This Row],[YearsAtCompany]]&lt;=2,"0-2 yrs",HrData[[#This Row],[YearsAtCompany]]&lt;=5,"3-5 yrs",TRUE,"5+ yrs")</f>
        <v>5+ yrs</v>
      </c>
    </row>
    <row r="63" spans="1:36" x14ac:dyDescent="0.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cm="1">
        <f t="array" ref="AJ63">_xlfn.IFS(HrData[[#This Row],[YearsAtCompany]]&lt;=2,"0-2 yrs",HrData[[#This Row],[YearsAtCompany]]&lt;=5,"3-5 yrs",TRUE,"5+ yrs")</f>
        <v>5+ yrs</v>
      </c>
    </row>
    <row r="64" spans="1:36" x14ac:dyDescent="0.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cm="1">
        <f t="array" ref="AJ64">_xlfn.IFS(HrData[[#This Row],[YearsAtCompany]]&lt;=2,"0-2 yrs",HrData[[#This Row],[YearsAtCompany]]&lt;=5,"3-5 yrs",TRUE,"5+ yrs")</f>
        <v>5+ yrs</v>
      </c>
    </row>
    <row r="65" spans="1:36" x14ac:dyDescent="0.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cm="1">
        <f t="array" ref="AJ65">_xlfn.IFS(HrData[[#This Row],[YearsAtCompany]]&lt;=2,"0-2 yrs",HrData[[#This Row],[YearsAtCompany]]&lt;=5,"3-5 yrs",TRUE,"5+ yrs")</f>
        <v>5+ yrs</v>
      </c>
    </row>
    <row r="66" spans="1:36" x14ac:dyDescent="0.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cm="1">
        <f t="array" ref="AJ66">_xlfn.IFS(HrData[[#This Row],[YearsAtCompany]]&lt;=2,"0-2 yrs",HrData[[#This Row],[YearsAtCompany]]&lt;=5,"3-5 yrs",TRUE,"5+ yrs")</f>
        <v>5+ yrs</v>
      </c>
    </row>
    <row r="67" spans="1:36" x14ac:dyDescent="0.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cm="1">
        <f t="array" ref="AJ67">_xlfn.IFS(HrData[[#This Row],[YearsAtCompany]]&lt;=2,"0-2 yrs",HrData[[#This Row],[YearsAtCompany]]&lt;=5,"3-5 yrs",TRUE,"5+ yrs")</f>
        <v>3-5 yrs</v>
      </c>
    </row>
    <row r="68" spans="1:36" x14ac:dyDescent="0.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cm="1">
        <f t="array" ref="AJ68">_xlfn.IFS(HrData[[#This Row],[YearsAtCompany]]&lt;=2,"0-2 yrs",HrData[[#This Row],[YearsAtCompany]]&lt;=5,"3-5 yrs",TRUE,"5+ yrs")</f>
        <v>5+ yrs</v>
      </c>
    </row>
    <row r="69" spans="1:36" x14ac:dyDescent="0.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cm="1">
        <f t="array" ref="AJ69">_xlfn.IFS(HrData[[#This Row],[YearsAtCompany]]&lt;=2,"0-2 yrs",HrData[[#This Row],[YearsAtCompany]]&lt;=5,"3-5 yrs",TRUE,"5+ yrs")</f>
        <v>0-2 yrs</v>
      </c>
    </row>
    <row r="70" spans="1:36" x14ac:dyDescent="0.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cm="1">
        <f t="array" ref="AJ70">_xlfn.IFS(HrData[[#This Row],[YearsAtCompany]]&lt;=2,"0-2 yrs",HrData[[#This Row],[YearsAtCompany]]&lt;=5,"3-5 yrs",TRUE,"5+ yrs")</f>
        <v>3-5 yrs</v>
      </c>
    </row>
    <row r="71" spans="1:36" x14ac:dyDescent="0.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cm="1">
        <f t="array" ref="AJ71">_xlfn.IFS(HrData[[#This Row],[YearsAtCompany]]&lt;=2,"0-2 yrs",HrData[[#This Row],[YearsAtCompany]]&lt;=5,"3-5 yrs",TRUE,"5+ yrs")</f>
        <v>0-2 yrs</v>
      </c>
    </row>
    <row r="72" spans="1:36" x14ac:dyDescent="0.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cm="1">
        <f t="array" ref="AJ72">_xlfn.IFS(HrData[[#This Row],[YearsAtCompany]]&lt;=2,"0-2 yrs",HrData[[#This Row],[YearsAtCompany]]&lt;=5,"3-5 yrs",TRUE,"5+ yrs")</f>
        <v>3-5 yrs</v>
      </c>
    </row>
    <row r="73" spans="1:36" x14ac:dyDescent="0.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cm="1">
        <f t="array" ref="AJ73">_xlfn.IFS(HrData[[#This Row],[YearsAtCompany]]&lt;=2,"0-2 yrs",HrData[[#This Row],[YearsAtCompany]]&lt;=5,"3-5 yrs",TRUE,"5+ yrs")</f>
        <v>3-5 yrs</v>
      </c>
    </row>
    <row r="74" spans="1:36" x14ac:dyDescent="0.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cm="1">
        <f t="array" ref="AJ74">_xlfn.IFS(HrData[[#This Row],[YearsAtCompany]]&lt;=2,"0-2 yrs",HrData[[#This Row],[YearsAtCompany]]&lt;=5,"3-5 yrs",TRUE,"5+ yrs")</f>
        <v>0-2 yrs</v>
      </c>
    </row>
    <row r="75" spans="1:36" x14ac:dyDescent="0.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cm="1">
        <f t="array" ref="AJ75">_xlfn.IFS(HrData[[#This Row],[YearsAtCompany]]&lt;=2,"0-2 yrs",HrData[[#This Row],[YearsAtCompany]]&lt;=5,"3-5 yrs",TRUE,"5+ yrs")</f>
        <v>5+ yrs</v>
      </c>
    </row>
    <row r="76" spans="1:36" x14ac:dyDescent="0.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cm="1">
        <f t="array" ref="AJ76">_xlfn.IFS(HrData[[#This Row],[YearsAtCompany]]&lt;=2,"0-2 yrs",HrData[[#This Row],[YearsAtCompany]]&lt;=5,"3-5 yrs",TRUE,"5+ yrs")</f>
        <v>0-2 yrs</v>
      </c>
    </row>
    <row r="77" spans="1:36" x14ac:dyDescent="0.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cm="1">
        <f t="array" ref="AJ77">_xlfn.IFS(HrData[[#This Row],[YearsAtCompany]]&lt;=2,"0-2 yrs",HrData[[#This Row],[YearsAtCompany]]&lt;=5,"3-5 yrs",TRUE,"5+ yrs")</f>
        <v>5+ yrs</v>
      </c>
    </row>
    <row r="78" spans="1:36" x14ac:dyDescent="0.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cm="1">
        <f t="array" ref="AJ78">_xlfn.IFS(HrData[[#This Row],[YearsAtCompany]]&lt;=2,"0-2 yrs",HrData[[#This Row],[YearsAtCompany]]&lt;=5,"3-5 yrs",TRUE,"5+ yrs")</f>
        <v>5+ yrs</v>
      </c>
    </row>
    <row r="79" spans="1:36" x14ac:dyDescent="0.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cm="1">
        <f t="array" ref="AJ79">_xlfn.IFS(HrData[[#This Row],[YearsAtCompany]]&lt;=2,"0-2 yrs",HrData[[#This Row],[YearsAtCompany]]&lt;=5,"3-5 yrs",TRUE,"5+ yrs")</f>
        <v>0-2 yrs</v>
      </c>
    </row>
    <row r="80" spans="1:36" x14ac:dyDescent="0.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cm="1">
        <f t="array" ref="AJ80">_xlfn.IFS(HrData[[#This Row],[YearsAtCompany]]&lt;=2,"0-2 yrs",HrData[[#This Row],[YearsAtCompany]]&lt;=5,"3-5 yrs",TRUE,"5+ yrs")</f>
        <v>3-5 yrs</v>
      </c>
    </row>
    <row r="81" spans="1:36" x14ac:dyDescent="0.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cm="1">
        <f t="array" ref="AJ81">_xlfn.IFS(HrData[[#This Row],[YearsAtCompany]]&lt;=2,"0-2 yrs",HrData[[#This Row],[YearsAtCompany]]&lt;=5,"3-5 yrs",TRUE,"5+ yrs")</f>
        <v>3-5 yrs</v>
      </c>
    </row>
    <row r="82" spans="1:36" x14ac:dyDescent="0.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cm="1">
        <f t="array" ref="AJ82">_xlfn.IFS(HrData[[#This Row],[YearsAtCompany]]&lt;=2,"0-2 yrs",HrData[[#This Row],[YearsAtCompany]]&lt;=5,"3-5 yrs",TRUE,"5+ yrs")</f>
        <v>5+ yrs</v>
      </c>
    </row>
    <row r="83" spans="1:36" x14ac:dyDescent="0.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cm="1">
        <f t="array" ref="AJ83">_xlfn.IFS(HrData[[#This Row],[YearsAtCompany]]&lt;=2,"0-2 yrs",HrData[[#This Row],[YearsAtCompany]]&lt;=5,"3-5 yrs",TRUE,"5+ yrs")</f>
        <v>5+ yrs</v>
      </c>
    </row>
    <row r="84" spans="1:36" x14ac:dyDescent="0.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cm="1">
        <f t="array" ref="AJ84">_xlfn.IFS(HrData[[#This Row],[YearsAtCompany]]&lt;=2,"0-2 yrs",HrData[[#This Row],[YearsAtCompany]]&lt;=5,"3-5 yrs",TRUE,"5+ yrs")</f>
        <v>0-2 yrs</v>
      </c>
    </row>
    <row r="85" spans="1:36" x14ac:dyDescent="0.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cm="1">
        <f t="array" ref="AJ85">_xlfn.IFS(HrData[[#This Row],[YearsAtCompany]]&lt;=2,"0-2 yrs",HrData[[#This Row],[YearsAtCompany]]&lt;=5,"3-5 yrs",TRUE,"5+ yrs")</f>
        <v>5+ yrs</v>
      </c>
    </row>
    <row r="86" spans="1:36" x14ac:dyDescent="0.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cm="1">
        <f t="array" ref="AJ86">_xlfn.IFS(HrData[[#This Row],[YearsAtCompany]]&lt;=2,"0-2 yrs",HrData[[#This Row],[YearsAtCompany]]&lt;=5,"3-5 yrs",TRUE,"5+ yrs")</f>
        <v>3-5 yrs</v>
      </c>
    </row>
    <row r="87" spans="1:36" x14ac:dyDescent="0.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cm="1">
        <f t="array" ref="AJ87">_xlfn.IFS(HrData[[#This Row],[YearsAtCompany]]&lt;=2,"0-2 yrs",HrData[[#This Row],[YearsAtCompany]]&lt;=5,"3-5 yrs",TRUE,"5+ yrs")</f>
        <v>5+ yrs</v>
      </c>
    </row>
    <row r="88" spans="1:36" x14ac:dyDescent="0.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cm="1">
        <f t="array" ref="AJ88">_xlfn.IFS(HrData[[#This Row],[YearsAtCompany]]&lt;=2,"0-2 yrs",HrData[[#This Row],[YearsAtCompany]]&lt;=5,"3-5 yrs",TRUE,"5+ yrs")</f>
        <v>0-2 yrs</v>
      </c>
    </row>
    <row r="89" spans="1:36" x14ac:dyDescent="0.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cm="1">
        <f t="array" ref="AJ89">_xlfn.IFS(HrData[[#This Row],[YearsAtCompany]]&lt;=2,"0-2 yrs",HrData[[#This Row],[YearsAtCompany]]&lt;=5,"3-5 yrs",TRUE,"5+ yrs")</f>
        <v>3-5 yrs</v>
      </c>
    </row>
    <row r="90" spans="1:36" x14ac:dyDescent="0.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cm="1">
        <f t="array" ref="AJ90">_xlfn.IFS(HrData[[#This Row],[YearsAtCompany]]&lt;=2,"0-2 yrs",HrData[[#This Row],[YearsAtCompany]]&lt;=5,"3-5 yrs",TRUE,"5+ yrs")</f>
        <v>5+ yrs</v>
      </c>
    </row>
    <row r="91" spans="1:36" x14ac:dyDescent="0.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cm="1">
        <f t="array" ref="AJ91">_xlfn.IFS(HrData[[#This Row],[YearsAtCompany]]&lt;=2,"0-2 yrs",HrData[[#This Row],[YearsAtCompany]]&lt;=5,"3-5 yrs",TRUE,"5+ yrs")</f>
        <v>5+ yrs</v>
      </c>
    </row>
    <row r="92" spans="1:36" x14ac:dyDescent="0.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cm="1">
        <f t="array" ref="AJ92">_xlfn.IFS(HrData[[#This Row],[YearsAtCompany]]&lt;=2,"0-2 yrs",HrData[[#This Row],[YearsAtCompany]]&lt;=5,"3-5 yrs",TRUE,"5+ yrs")</f>
        <v>5+ yrs</v>
      </c>
    </row>
    <row r="93" spans="1:36" x14ac:dyDescent="0.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cm="1">
        <f t="array" ref="AJ93">_xlfn.IFS(HrData[[#This Row],[YearsAtCompany]]&lt;=2,"0-2 yrs",HrData[[#This Row],[YearsAtCompany]]&lt;=5,"3-5 yrs",TRUE,"5+ yrs")</f>
        <v>5+ yrs</v>
      </c>
    </row>
    <row r="94" spans="1:36" x14ac:dyDescent="0.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cm="1">
        <f t="array" ref="AJ94">_xlfn.IFS(HrData[[#This Row],[YearsAtCompany]]&lt;=2,"0-2 yrs",HrData[[#This Row],[YearsAtCompany]]&lt;=5,"3-5 yrs",TRUE,"5+ yrs")</f>
        <v>5+ yrs</v>
      </c>
    </row>
    <row r="95" spans="1:36" x14ac:dyDescent="0.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cm="1">
        <f t="array" ref="AJ95">_xlfn.IFS(HrData[[#This Row],[YearsAtCompany]]&lt;=2,"0-2 yrs",HrData[[#This Row],[YearsAtCompany]]&lt;=5,"3-5 yrs",TRUE,"5+ yrs")</f>
        <v>5+ yrs</v>
      </c>
    </row>
    <row r="96" spans="1:36" x14ac:dyDescent="0.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cm="1">
        <f t="array" ref="AJ96">_xlfn.IFS(HrData[[#This Row],[YearsAtCompany]]&lt;=2,"0-2 yrs",HrData[[#This Row],[YearsAtCompany]]&lt;=5,"3-5 yrs",TRUE,"5+ yrs")</f>
        <v>5+ yrs</v>
      </c>
    </row>
    <row r="97" spans="1:36" x14ac:dyDescent="0.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cm="1">
        <f t="array" ref="AJ97">_xlfn.IFS(HrData[[#This Row],[YearsAtCompany]]&lt;=2,"0-2 yrs",HrData[[#This Row],[YearsAtCompany]]&lt;=5,"3-5 yrs",TRUE,"5+ yrs")</f>
        <v>3-5 yrs</v>
      </c>
    </row>
    <row r="98" spans="1:36" x14ac:dyDescent="0.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cm="1">
        <f t="array" ref="AJ98">_xlfn.IFS(HrData[[#This Row],[YearsAtCompany]]&lt;=2,"0-2 yrs",HrData[[#This Row],[YearsAtCompany]]&lt;=5,"3-5 yrs",TRUE,"5+ yrs")</f>
        <v>3-5 yrs</v>
      </c>
    </row>
    <row r="99" spans="1:36" x14ac:dyDescent="0.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cm="1">
        <f t="array" ref="AJ99">_xlfn.IFS(HrData[[#This Row],[YearsAtCompany]]&lt;=2,"0-2 yrs",HrData[[#This Row],[YearsAtCompany]]&lt;=5,"3-5 yrs",TRUE,"5+ yrs")</f>
        <v>3-5 yrs</v>
      </c>
    </row>
    <row r="100" spans="1:36" x14ac:dyDescent="0.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_xlfn.IFS(HrData[[#This Row],[YearsAtCompany]]&lt;=2,"0-2 yrs",HrData[[#This Row],[YearsAtCompany]]&lt;=5,"3-5 yrs",TRUE,"5+ yrs")</f>
        <v>5+ yrs</v>
      </c>
    </row>
    <row r="101" spans="1:36" x14ac:dyDescent="0.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_xlfn.IFS(HrData[[#This Row],[YearsAtCompany]]&lt;=2,"0-2 yrs",HrData[[#This Row],[YearsAtCompany]]&lt;=5,"3-5 yrs",TRUE,"5+ yrs")</f>
        <v>3-5 yrs</v>
      </c>
    </row>
    <row r="102" spans="1:36" x14ac:dyDescent="0.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_xlfn.IFS(HrData[[#This Row],[YearsAtCompany]]&lt;=2,"0-2 yrs",HrData[[#This Row],[YearsAtCompany]]&lt;=5,"3-5 yrs",TRUE,"5+ yrs")</f>
        <v>3-5 yrs</v>
      </c>
    </row>
    <row r="103" spans="1:36" x14ac:dyDescent="0.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_xlfn.IFS(HrData[[#This Row],[YearsAtCompany]]&lt;=2,"0-2 yrs",HrData[[#This Row],[YearsAtCompany]]&lt;=5,"3-5 yrs",TRUE,"5+ yrs")</f>
        <v>0-2 yrs</v>
      </c>
    </row>
    <row r="104" spans="1:36" x14ac:dyDescent="0.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_xlfn.IFS(HrData[[#This Row],[YearsAtCompany]]&lt;=2,"0-2 yrs",HrData[[#This Row],[YearsAtCompany]]&lt;=5,"3-5 yrs",TRUE,"5+ yrs")</f>
        <v>0-2 yrs</v>
      </c>
    </row>
    <row r="105" spans="1:36" x14ac:dyDescent="0.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_xlfn.IFS(HrData[[#This Row],[YearsAtCompany]]&lt;=2,"0-2 yrs",HrData[[#This Row],[YearsAtCompany]]&lt;=5,"3-5 yrs",TRUE,"5+ yrs")</f>
        <v>5+ yrs</v>
      </c>
    </row>
    <row r="106" spans="1:36" x14ac:dyDescent="0.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_xlfn.IFS(HrData[[#This Row],[YearsAtCompany]]&lt;=2,"0-2 yrs",HrData[[#This Row],[YearsAtCompany]]&lt;=5,"3-5 yrs",TRUE,"5+ yrs")</f>
        <v>0-2 yrs</v>
      </c>
    </row>
    <row r="107" spans="1:36" x14ac:dyDescent="0.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_xlfn.IFS(HrData[[#This Row],[YearsAtCompany]]&lt;=2,"0-2 yrs",HrData[[#This Row],[YearsAtCompany]]&lt;=5,"3-5 yrs",TRUE,"5+ yrs")</f>
        <v>3-5 yrs</v>
      </c>
    </row>
    <row r="108" spans="1:36" x14ac:dyDescent="0.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_xlfn.IFS(HrData[[#This Row],[YearsAtCompany]]&lt;=2,"0-2 yrs",HrData[[#This Row],[YearsAtCompany]]&lt;=5,"3-5 yrs",TRUE,"5+ yrs")</f>
        <v>5+ yrs</v>
      </c>
    </row>
    <row r="109" spans="1:36" x14ac:dyDescent="0.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_xlfn.IFS(HrData[[#This Row],[YearsAtCompany]]&lt;=2,"0-2 yrs",HrData[[#This Row],[YearsAtCompany]]&lt;=5,"3-5 yrs",TRUE,"5+ yrs")</f>
        <v>5+ yrs</v>
      </c>
    </row>
    <row r="110" spans="1:36" x14ac:dyDescent="0.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_xlfn.IFS(HrData[[#This Row],[YearsAtCompany]]&lt;=2,"0-2 yrs",HrData[[#This Row],[YearsAtCompany]]&lt;=5,"3-5 yrs",TRUE,"5+ yrs")</f>
        <v>0-2 yrs</v>
      </c>
    </row>
    <row r="111" spans="1:36" x14ac:dyDescent="0.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_xlfn.IFS(HrData[[#This Row],[YearsAtCompany]]&lt;=2,"0-2 yrs",HrData[[#This Row],[YearsAtCompany]]&lt;=5,"3-5 yrs",TRUE,"5+ yrs")</f>
        <v>0-2 yrs</v>
      </c>
    </row>
    <row r="112" spans="1:36" x14ac:dyDescent="0.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_xlfn.IFS(HrData[[#This Row],[YearsAtCompany]]&lt;=2,"0-2 yrs",HrData[[#This Row],[YearsAtCompany]]&lt;=5,"3-5 yrs",TRUE,"5+ yrs")</f>
        <v>5+ yrs</v>
      </c>
    </row>
    <row r="113" spans="1:36" x14ac:dyDescent="0.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_xlfn.IFS(HrData[[#This Row],[YearsAtCompany]]&lt;=2,"0-2 yrs",HrData[[#This Row],[YearsAtCompany]]&lt;=5,"3-5 yrs",TRUE,"5+ yrs")</f>
        <v>5+ yrs</v>
      </c>
    </row>
    <row r="114" spans="1:36" x14ac:dyDescent="0.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_xlfn.IFS(HrData[[#This Row],[YearsAtCompany]]&lt;=2,"0-2 yrs",HrData[[#This Row],[YearsAtCompany]]&lt;=5,"3-5 yrs",TRUE,"5+ yrs")</f>
        <v>3-5 yrs</v>
      </c>
    </row>
    <row r="115" spans="1:36" x14ac:dyDescent="0.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_xlfn.IFS(HrData[[#This Row],[YearsAtCompany]]&lt;=2,"0-2 yrs",HrData[[#This Row],[YearsAtCompany]]&lt;=5,"3-5 yrs",TRUE,"5+ yrs")</f>
        <v>3-5 yrs</v>
      </c>
    </row>
    <row r="116" spans="1:36" x14ac:dyDescent="0.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_xlfn.IFS(HrData[[#This Row],[YearsAtCompany]]&lt;=2,"0-2 yrs",HrData[[#This Row],[YearsAtCompany]]&lt;=5,"3-5 yrs",TRUE,"5+ yrs")</f>
        <v>0-2 yrs</v>
      </c>
    </row>
    <row r="117" spans="1:36" x14ac:dyDescent="0.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_xlfn.IFS(HrData[[#This Row],[YearsAtCompany]]&lt;=2,"0-2 yrs",HrData[[#This Row],[YearsAtCompany]]&lt;=5,"3-5 yrs",TRUE,"5+ yrs")</f>
        <v>3-5 yrs</v>
      </c>
    </row>
    <row r="118" spans="1:36" x14ac:dyDescent="0.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_xlfn.IFS(HrData[[#This Row],[YearsAtCompany]]&lt;=2,"0-2 yrs",HrData[[#This Row],[YearsAtCompany]]&lt;=5,"3-5 yrs",TRUE,"5+ yrs")</f>
        <v>5+ yrs</v>
      </c>
    </row>
    <row r="119" spans="1:36" x14ac:dyDescent="0.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_xlfn.IFS(HrData[[#This Row],[YearsAtCompany]]&lt;=2,"0-2 yrs",HrData[[#This Row],[YearsAtCompany]]&lt;=5,"3-5 yrs",TRUE,"5+ yrs")</f>
        <v>5+ yrs</v>
      </c>
    </row>
    <row r="120" spans="1:36" x14ac:dyDescent="0.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cm="1">
        <f t="array" ref="AJ120">_xlfn.IFS(HrData[[#This Row],[YearsAtCompany]]&lt;=2,"0-2 yrs",HrData[[#This Row],[YearsAtCompany]]&lt;=5,"3-5 yrs",TRUE,"5+ yrs")</f>
        <v>0-2 yrs</v>
      </c>
    </row>
    <row r="121" spans="1:36" x14ac:dyDescent="0.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_xlfn.IFS(HrData[[#This Row],[YearsAtCompany]]&lt;=2,"0-2 yrs",HrData[[#This Row],[YearsAtCompany]]&lt;=5,"3-5 yrs",TRUE,"5+ yrs")</f>
        <v>5+ yrs</v>
      </c>
    </row>
    <row r="122" spans="1:36" x14ac:dyDescent="0.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_xlfn.IFS(HrData[[#This Row],[YearsAtCompany]]&lt;=2,"0-2 yrs",HrData[[#This Row],[YearsAtCompany]]&lt;=5,"3-5 yrs",TRUE,"5+ yrs")</f>
        <v>5+ yrs</v>
      </c>
    </row>
    <row r="123" spans="1:36" x14ac:dyDescent="0.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_xlfn.IFS(HrData[[#This Row],[YearsAtCompany]]&lt;=2,"0-2 yrs",HrData[[#This Row],[YearsAtCompany]]&lt;=5,"3-5 yrs",TRUE,"5+ yrs")</f>
        <v>5+ yrs</v>
      </c>
    </row>
    <row r="124" spans="1:36" x14ac:dyDescent="0.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cm="1">
        <f t="array" ref="AJ124">_xlfn.IFS(HrData[[#This Row],[YearsAtCompany]]&lt;=2,"0-2 yrs",HrData[[#This Row],[YearsAtCompany]]&lt;=5,"3-5 yrs",TRUE,"5+ yrs")</f>
        <v>3-5 yrs</v>
      </c>
    </row>
    <row r="125" spans="1:36" x14ac:dyDescent="0.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_xlfn.IFS(HrData[[#This Row],[YearsAtCompany]]&lt;=2,"0-2 yrs",HrData[[#This Row],[YearsAtCompany]]&lt;=5,"3-5 yrs",TRUE,"5+ yrs")</f>
        <v>5+ yrs</v>
      </c>
    </row>
    <row r="126" spans="1:36" x14ac:dyDescent="0.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_xlfn.IFS(HrData[[#This Row],[YearsAtCompany]]&lt;=2,"0-2 yrs",HrData[[#This Row],[YearsAtCompany]]&lt;=5,"3-5 yrs",TRUE,"5+ yrs")</f>
        <v>5+ yrs</v>
      </c>
    </row>
    <row r="127" spans="1:36" x14ac:dyDescent="0.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_xlfn.IFS(HrData[[#This Row],[YearsAtCompany]]&lt;=2,"0-2 yrs",HrData[[#This Row],[YearsAtCompany]]&lt;=5,"3-5 yrs",TRUE,"5+ yrs")</f>
        <v>3-5 yrs</v>
      </c>
    </row>
    <row r="128" spans="1:36" x14ac:dyDescent="0.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_xlfn.IFS(HrData[[#This Row],[YearsAtCompany]]&lt;=2,"0-2 yrs",HrData[[#This Row],[YearsAtCompany]]&lt;=5,"3-5 yrs",TRUE,"5+ yrs")</f>
        <v>5+ yrs</v>
      </c>
    </row>
    <row r="129" spans="1:36" x14ac:dyDescent="0.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_xlfn.IFS(HrData[[#This Row],[YearsAtCompany]]&lt;=2,"0-2 yrs",HrData[[#This Row],[YearsAtCompany]]&lt;=5,"3-5 yrs",TRUE,"5+ yrs")</f>
        <v>0-2 yrs</v>
      </c>
    </row>
    <row r="130" spans="1:36" x14ac:dyDescent="0.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_xlfn.IFS(HrData[[#This Row],[YearsAtCompany]]&lt;=2,"0-2 yrs",HrData[[#This Row],[YearsAtCompany]]&lt;=5,"3-5 yrs",TRUE,"5+ yrs")</f>
        <v>0-2 yrs</v>
      </c>
    </row>
    <row r="131" spans="1:36" x14ac:dyDescent="0.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_xlfn.IFS(HrData[[#This Row],[YearsAtCompany]]&lt;=2,"0-2 yrs",HrData[[#This Row],[YearsAtCompany]]&lt;=5,"3-5 yrs",TRUE,"5+ yrs")</f>
        <v>5+ yrs</v>
      </c>
    </row>
    <row r="132" spans="1:36" x14ac:dyDescent="0.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_xlfn.IFS(HrData[[#This Row],[YearsAtCompany]]&lt;=2,"0-2 yrs",HrData[[#This Row],[YearsAtCompany]]&lt;=5,"3-5 yrs",TRUE,"5+ yrs")</f>
        <v>3-5 yrs</v>
      </c>
    </row>
    <row r="133" spans="1:36" x14ac:dyDescent="0.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_xlfn.IFS(HrData[[#This Row],[YearsAtCompany]]&lt;=2,"0-2 yrs",HrData[[#This Row],[YearsAtCompany]]&lt;=5,"3-5 yrs",TRUE,"5+ yrs")</f>
        <v>0-2 yrs</v>
      </c>
    </row>
    <row r="134" spans="1:36" x14ac:dyDescent="0.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_xlfn.IFS(HrData[[#This Row],[YearsAtCompany]]&lt;=2,"0-2 yrs",HrData[[#This Row],[YearsAtCompany]]&lt;=5,"3-5 yrs",TRUE,"5+ yrs")</f>
        <v>0-2 yrs</v>
      </c>
    </row>
    <row r="135" spans="1:36" x14ac:dyDescent="0.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_xlfn.IFS(HrData[[#This Row],[YearsAtCompany]]&lt;=2,"0-2 yrs",HrData[[#This Row],[YearsAtCompany]]&lt;=5,"3-5 yrs",TRUE,"5+ yrs")</f>
        <v>5+ yrs</v>
      </c>
    </row>
    <row r="136" spans="1:36" x14ac:dyDescent="0.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cm="1">
        <f t="array" ref="AJ136">_xlfn.IFS(HrData[[#This Row],[YearsAtCompany]]&lt;=2,"0-2 yrs",HrData[[#This Row],[YearsAtCompany]]&lt;=5,"3-5 yrs",TRUE,"5+ yrs")</f>
        <v>5+ yrs</v>
      </c>
    </row>
    <row r="137" spans="1:36" x14ac:dyDescent="0.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cm="1">
        <f t="array" ref="AJ137">_xlfn.IFS(HrData[[#This Row],[YearsAtCompany]]&lt;=2,"0-2 yrs",HrData[[#This Row],[YearsAtCompany]]&lt;=5,"3-5 yrs",TRUE,"5+ yrs")</f>
        <v>3-5 yrs</v>
      </c>
    </row>
    <row r="138" spans="1:36" x14ac:dyDescent="0.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_xlfn.IFS(HrData[[#This Row],[YearsAtCompany]]&lt;=2,"0-2 yrs",HrData[[#This Row],[YearsAtCompany]]&lt;=5,"3-5 yrs",TRUE,"5+ yrs")</f>
        <v>3-5 yrs</v>
      </c>
    </row>
    <row r="139" spans="1:36" x14ac:dyDescent="0.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_xlfn.IFS(HrData[[#This Row],[YearsAtCompany]]&lt;=2,"0-2 yrs",HrData[[#This Row],[YearsAtCompany]]&lt;=5,"3-5 yrs",TRUE,"5+ yrs")</f>
        <v>5+ yrs</v>
      </c>
    </row>
    <row r="140" spans="1:36" x14ac:dyDescent="0.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_xlfn.IFS(HrData[[#This Row],[YearsAtCompany]]&lt;=2,"0-2 yrs",HrData[[#This Row],[YearsAtCompany]]&lt;=5,"3-5 yrs",TRUE,"5+ yrs")</f>
        <v>0-2 yrs</v>
      </c>
    </row>
    <row r="141" spans="1:36" x14ac:dyDescent="0.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_xlfn.IFS(HrData[[#This Row],[YearsAtCompany]]&lt;=2,"0-2 yrs",HrData[[#This Row],[YearsAtCompany]]&lt;=5,"3-5 yrs",TRUE,"5+ yrs")</f>
        <v>5+ yrs</v>
      </c>
    </row>
    <row r="142" spans="1:36" x14ac:dyDescent="0.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_xlfn.IFS(HrData[[#This Row],[YearsAtCompany]]&lt;=2,"0-2 yrs",HrData[[#This Row],[YearsAtCompany]]&lt;=5,"3-5 yrs",TRUE,"5+ yrs")</f>
        <v>3-5 yrs</v>
      </c>
    </row>
    <row r="143" spans="1:36" x14ac:dyDescent="0.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cm="1">
        <f t="array" ref="AJ143">_xlfn.IFS(HrData[[#This Row],[YearsAtCompany]]&lt;=2,"0-2 yrs",HrData[[#This Row],[YearsAtCompany]]&lt;=5,"3-5 yrs",TRUE,"5+ yrs")</f>
        <v>5+ yrs</v>
      </c>
    </row>
    <row r="144" spans="1:36" x14ac:dyDescent="0.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_xlfn.IFS(HrData[[#This Row],[YearsAtCompany]]&lt;=2,"0-2 yrs",HrData[[#This Row],[YearsAtCompany]]&lt;=5,"3-5 yrs",TRUE,"5+ yrs")</f>
        <v>3-5 yrs</v>
      </c>
    </row>
    <row r="145" spans="1:36" x14ac:dyDescent="0.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_xlfn.IFS(HrData[[#This Row],[YearsAtCompany]]&lt;=2,"0-2 yrs",HrData[[#This Row],[YearsAtCompany]]&lt;=5,"3-5 yrs",TRUE,"5+ yrs")</f>
        <v>3-5 yrs</v>
      </c>
    </row>
    <row r="146" spans="1:36" x14ac:dyDescent="0.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_xlfn.IFS(HrData[[#This Row],[YearsAtCompany]]&lt;=2,"0-2 yrs",HrData[[#This Row],[YearsAtCompany]]&lt;=5,"3-5 yrs",TRUE,"5+ yrs")</f>
        <v>5+ yrs</v>
      </c>
    </row>
    <row r="147" spans="1:36" x14ac:dyDescent="0.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_xlfn.IFS(HrData[[#This Row],[YearsAtCompany]]&lt;=2,"0-2 yrs",HrData[[#This Row],[YearsAtCompany]]&lt;=5,"3-5 yrs",TRUE,"5+ yrs")</f>
        <v>3-5 yrs</v>
      </c>
    </row>
    <row r="148" spans="1:36" x14ac:dyDescent="0.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_xlfn.IFS(HrData[[#This Row],[YearsAtCompany]]&lt;=2,"0-2 yrs",HrData[[#This Row],[YearsAtCompany]]&lt;=5,"3-5 yrs",TRUE,"5+ yrs")</f>
        <v>3-5 yrs</v>
      </c>
    </row>
    <row r="149" spans="1:36" x14ac:dyDescent="0.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_xlfn.IFS(HrData[[#This Row],[YearsAtCompany]]&lt;=2,"0-2 yrs",HrData[[#This Row],[YearsAtCompany]]&lt;=5,"3-5 yrs",TRUE,"5+ yrs")</f>
        <v>5+ yrs</v>
      </c>
    </row>
    <row r="150" spans="1:36" x14ac:dyDescent="0.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cm="1">
        <f t="array" ref="AJ150">_xlfn.IFS(HrData[[#This Row],[YearsAtCompany]]&lt;=2,"0-2 yrs",HrData[[#This Row],[YearsAtCompany]]&lt;=5,"3-5 yrs",TRUE,"5+ yrs")</f>
        <v>3-5 yrs</v>
      </c>
    </row>
    <row r="151" spans="1:36" x14ac:dyDescent="0.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_xlfn.IFS(HrData[[#This Row],[YearsAtCompany]]&lt;=2,"0-2 yrs",HrData[[#This Row],[YearsAtCompany]]&lt;=5,"3-5 yrs",TRUE,"5+ yrs")</f>
        <v>0-2 yrs</v>
      </c>
    </row>
    <row r="152" spans="1:36" x14ac:dyDescent="0.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_xlfn.IFS(HrData[[#This Row],[YearsAtCompany]]&lt;=2,"0-2 yrs",HrData[[#This Row],[YearsAtCompany]]&lt;=5,"3-5 yrs",TRUE,"5+ yrs")</f>
        <v>5+ yrs</v>
      </c>
    </row>
    <row r="153" spans="1:36" x14ac:dyDescent="0.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_xlfn.IFS(HrData[[#This Row],[YearsAtCompany]]&lt;=2,"0-2 yrs",HrData[[#This Row],[YearsAtCompany]]&lt;=5,"3-5 yrs",TRUE,"5+ yrs")</f>
        <v>5+ yrs</v>
      </c>
    </row>
    <row r="154" spans="1:36" x14ac:dyDescent="0.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_xlfn.IFS(HrData[[#This Row],[YearsAtCompany]]&lt;=2,"0-2 yrs",HrData[[#This Row],[YearsAtCompany]]&lt;=5,"3-5 yrs",TRUE,"5+ yrs")</f>
        <v>5+ yrs</v>
      </c>
    </row>
    <row r="155" spans="1:36" x14ac:dyDescent="0.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_xlfn.IFS(HrData[[#This Row],[YearsAtCompany]]&lt;=2,"0-2 yrs",HrData[[#This Row],[YearsAtCompany]]&lt;=5,"3-5 yrs",TRUE,"5+ yrs")</f>
        <v>5+ yrs</v>
      </c>
    </row>
    <row r="156" spans="1:36" x14ac:dyDescent="0.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_xlfn.IFS(HrData[[#This Row],[YearsAtCompany]]&lt;=2,"0-2 yrs",HrData[[#This Row],[YearsAtCompany]]&lt;=5,"3-5 yrs",TRUE,"5+ yrs")</f>
        <v>5+ yrs</v>
      </c>
    </row>
    <row r="157" spans="1:36" x14ac:dyDescent="0.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_xlfn.IFS(HrData[[#This Row],[YearsAtCompany]]&lt;=2,"0-2 yrs",HrData[[#This Row],[YearsAtCompany]]&lt;=5,"3-5 yrs",TRUE,"5+ yrs")</f>
        <v>5+ yrs</v>
      </c>
    </row>
    <row r="158" spans="1:36" x14ac:dyDescent="0.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_xlfn.IFS(HrData[[#This Row],[YearsAtCompany]]&lt;=2,"0-2 yrs",HrData[[#This Row],[YearsAtCompany]]&lt;=5,"3-5 yrs",TRUE,"5+ yrs")</f>
        <v>0-2 yrs</v>
      </c>
    </row>
    <row r="159" spans="1:36" x14ac:dyDescent="0.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_xlfn.IFS(HrData[[#This Row],[YearsAtCompany]]&lt;=2,"0-2 yrs",HrData[[#This Row],[YearsAtCompany]]&lt;=5,"3-5 yrs",TRUE,"5+ yrs")</f>
        <v>0-2 yrs</v>
      </c>
    </row>
    <row r="160" spans="1:36" x14ac:dyDescent="0.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_xlfn.IFS(HrData[[#This Row],[YearsAtCompany]]&lt;=2,"0-2 yrs",HrData[[#This Row],[YearsAtCompany]]&lt;=5,"3-5 yrs",TRUE,"5+ yrs")</f>
        <v>5+ yrs</v>
      </c>
    </row>
    <row r="161" spans="1:36" x14ac:dyDescent="0.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_xlfn.IFS(HrData[[#This Row],[YearsAtCompany]]&lt;=2,"0-2 yrs",HrData[[#This Row],[YearsAtCompany]]&lt;=5,"3-5 yrs",TRUE,"5+ yrs")</f>
        <v>3-5 yrs</v>
      </c>
    </row>
    <row r="162" spans="1:36" x14ac:dyDescent="0.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_xlfn.IFS(HrData[[#This Row],[YearsAtCompany]]&lt;=2,"0-2 yrs",HrData[[#This Row],[YearsAtCompany]]&lt;=5,"3-5 yrs",TRUE,"5+ yrs")</f>
        <v>0-2 yrs</v>
      </c>
    </row>
    <row r="163" spans="1:36" x14ac:dyDescent="0.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cm="1">
        <f t="array" ref="AJ163">_xlfn.IFS(HrData[[#This Row],[YearsAtCompany]]&lt;=2,"0-2 yrs",HrData[[#This Row],[YearsAtCompany]]&lt;=5,"3-5 yrs",TRUE,"5+ yrs")</f>
        <v>0-2 yrs</v>
      </c>
    </row>
    <row r="164" spans="1:36" x14ac:dyDescent="0.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cm="1">
        <f t="array" ref="AJ164">_xlfn.IFS(HrData[[#This Row],[YearsAtCompany]]&lt;=2,"0-2 yrs",HrData[[#This Row],[YearsAtCompany]]&lt;=5,"3-5 yrs",TRUE,"5+ yrs")</f>
        <v>3-5 yrs</v>
      </c>
    </row>
    <row r="165" spans="1:36" x14ac:dyDescent="0.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_xlfn.IFS(HrData[[#This Row],[YearsAtCompany]]&lt;=2,"0-2 yrs",HrData[[#This Row],[YearsAtCompany]]&lt;=5,"3-5 yrs",TRUE,"5+ yrs")</f>
        <v>3-5 yrs</v>
      </c>
    </row>
    <row r="166" spans="1:36" x14ac:dyDescent="0.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_xlfn.IFS(HrData[[#This Row],[YearsAtCompany]]&lt;=2,"0-2 yrs",HrData[[#This Row],[YearsAtCompany]]&lt;=5,"3-5 yrs",TRUE,"5+ yrs")</f>
        <v>0-2 yrs</v>
      </c>
    </row>
    <row r="167" spans="1:36" x14ac:dyDescent="0.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_xlfn.IFS(HrData[[#This Row],[YearsAtCompany]]&lt;=2,"0-2 yrs",HrData[[#This Row],[YearsAtCompany]]&lt;=5,"3-5 yrs",TRUE,"5+ yrs")</f>
        <v>3-5 yrs</v>
      </c>
    </row>
    <row r="168" spans="1:36" x14ac:dyDescent="0.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_xlfn.IFS(HrData[[#This Row],[YearsAtCompany]]&lt;=2,"0-2 yrs",HrData[[#This Row],[YearsAtCompany]]&lt;=5,"3-5 yrs",TRUE,"5+ yrs")</f>
        <v>5+ yrs</v>
      </c>
    </row>
    <row r="169" spans="1:36" x14ac:dyDescent="0.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_xlfn.IFS(HrData[[#This Row],[YearsAtCompany]]&lt;=2,"0-2 yrs",HrData[[#This Row],[YearsAtCompany]]&lt;=5,"3-5 yrs",TRUE,"5+ yrs")</f>
        <v>5+ yrs</v>
      </c>
    </row>
    <row r="170" spans="1:36" x14ac:dyDescent="0.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_xlfn.IFS(HrData[[#This Row],[YearsAtCompany]]&lt;=2,"0-2 yrs",HrData[[#This Row],[YearsAtCompany]]&lt;=5,"3-5 yrs",TRUE,"5+ yrs")</f>
        <v>5+ yrs</v>
      </c>
    </row>
    <row r="171" spans="1:36" x14ac:dyDescent="0.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_xlfn.IFS(HrData[[#This Row],[YearsAtCompany]]&lt;=2,"0-2 yrs",HrData[[#This Row],[YearsAtCompany]]&lt;=5,"3-5 yrs",TRUE,"5+ yrs")</f>
        <v>3-5 yrs</v>
      </c>
    </row>
    <row r="172" spans="1:36" x14ac:dyDescent="0.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_xlfn.IFS(HrData[[#This Row],[YearsAtCompany]]&lt;=2,"0-2 yrs",HrData[[#This Row],[YearsAtCompany]]&lt;=5,"3-5 yrs",TRUE,"5+ yrs")</f>
        <v>3-5 yrs</v>
      </c>
    </row>
    <row r="173" spans="1:36" x14ac:dyDescent="0.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_xlfn.IFS(HrData[[#This Row],[YearsAtCompany]]&lt;=2,"0-2 yrs",HrData[[#This Row],[YearsAtCompany]]&lt;=5,"3-5 yrs",TRUE,"5+ yrs")</f>
        <v>0-2 yrs</v>
      </c>
    </row>
    <row r="174" spans="1:36" x14ac:dyDescent="0.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_xlfn.IFS(HrData[[#This Row],[YearsAtCompany]]&lt;=2,"0-2 yrs",HrData[[#This Row],[YearsAtCompany]]&lt;=5,"3-5 yrs",TRUE,"5+ yrs")</f>
        <v>5+ yrs</v>
      </c>
    </row>
    <row r="175" spans="1:36" x14ac:dyDescent="0.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_xlfn.IFS(HrData[[#This Row],[YearsAtCompany]]&lt;=2,"0-2 yrs",HrData[[#This Row],[YearsAtCompany]]&lt;=5,"3-5 yrs",TRUE,"5+ yrs")</f>
        <v>5+ yrs</v>
      </c>
    </row>
    <row r="176" spans="1:36" x14ac:dyDescent="0.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cm="1">
        <f t="array" ref="AJ176">_xlfn.IFS(HrData[[#This Row],[YearsAtCompany]]&lt;=2,"0-2 yrs",HrData[[#This Row],[YearsAtCompany]]&lt;=5,"3-5 yrs",TRUE,"5+ yrs")</f>
        <v>3-5 yrs</v>
      </c>
    </row>
    <row r="177" spans="1:36" x14ac:dyDescent="0.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_xlfn.IFS(HrData[[#This Row],[YearsAtCompany]]&lt;=2,"0-2 yrs",HrData[[#This Row],[YearsAtCompany]]&lt;=5,"3-5 yrs",TRUE,"5+ yrs")</f>
        <v>0-2 yrs</v>
      </c>
    </row>
    <row r="178" spans="1:36" x14ac:dyDescent="0.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_xlfn.IFS(HrData[[#This Row],[YearsAtCompany]]&lt;=2,"0-2 yrs",HrData[[#This Row],[YearsAtCompany]]&lt;=5,"3-5 yrs",TRUE,"5+ yrs")</f>
        <v>3-5 yrs</v>
      </c>
    </row>
    <row r="179" spans="1:36" x14ac:dyDescent="0.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cm="1">
        <f t="array" ref="AJ179">_xlfn.IFS(HrData[[#This Row],[YearsAtCompany]]&lt;=2,"0-2 yrs",HrData[[#This Row],[YearsAtCompany]]&lt;=5,"3-5 yrs",TRUE,"5+ yrs")</f>
        <v>0-2 yrs</v>
      </c>
    </row>
    <row r="180" spans="1:36" x14ac:dyDescent="0.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_xlfn.IFS(HrData[[#This Row],[YearsAtCompany]]&lt;=2,"0-2 yrs",HrData[[#This Row],[YearsAtCompany]]&lt;=5,"3-5 yrs",TRUE,"5+ yrs")</f>
        <v>5+ yrs</v>
      </c>
    </row>
    <row r="181" spans="1:36" x14ac:dyDescent="0.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cm="1">
        <f t="array" ref="AJ181">_xlfn.IFS(HrData[[#This Row],[YearsAtCompany]]&lt;=2,"0-2 yrs",HrData[[#This Row],[YearsAtCompany]]&lt;=5,"3-5 yrs",TRUE,"5+ yrs")</f>
        <v>0-2 yrs</v>
      </c>
    </row>
    <row r="182" spans="1:36" x14ac:dyDescent="0.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_xlfn.IFS(HrData[[#This Row],[YearsAtCompany]]&lt;=2,"0-2 yrs",HrData[[#This Row],[YearsAtCompany]]&lt;=5,"3-5 yrs",TRUE,"5+ yrs")</f>
        <v>3-5 yrs</v>
      </c>
    </row>
    <row r="183" spans="1:36" x14ac:dyDescent="0.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cm="1">
        <f t="array" ref="AJ183">_xlfn.IFS(HrData[[#This Row],[YearsAtCompany]]&lt;=2,"0-2 yrs",HrData[[#This Row],[YearsAtCompany]]&lt;=5,"3-5 yrs",TRUE,"5+ yrs")</f>
        <v>3-5 yrs</v>
      </c>
    </row>
    <row r="184" spans="1:36" x14ac:dyDescent="0.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_xlfn.IFS(HrData[[#This Row],[YearsAtCompany]]&lt;=2,"0-2 yrs",HrData[[#This Row],[YearsAtCompany]]&lt;=5,"3-5 yrs",TRUE,"5+ yrs")</f>
        <v>3-5 yrs</v>
      </c>
    </row>
    <row r="185" spans="1:36" x14ac:dyDescent="0.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cm="1">
        <f t="array" ref="AJ185">_xlfn.IFS(HrData[[#This Row],[YearsAtCompany]]&lt;=2,"0-2 yrs",HrData[[#This Row],[YearsAtCompany]]&lt;=5,"3-5 yrs",TRUE,"5+ yrs")</f>
        <v>3-5 yrs</v>
      </c>
    </row>
    <row r="186" spans="1:36" x14ac:dyDescent="0.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_xlfn.IFS(HrData[[#This Row],[YearsAtCompany]]&lt;=2,"0-2 yrs",HrData[[#This Row],[YearsAtCompany]]&lt;=5,"3-5 yrs",TRUE,"5+ yrs")</f>
        <v>3-5 yrs</v>
      </c>
    </row>
    <row r="187" spans="1:36" x14ac:dyDescent="0.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cm="1">
        <f t="array" ref="AJ187">_xlfn.IFS(HrData[[#This Row],[YearsAtCompany]]&lt;=2,"0-2 yrs",HrData[[#This Row],[YearsAtCompany]]&lt;=5,"3-5 yrs",TRUE,"5+ yrs")</f>
        <v>5+ yrs</v>
      </c>
    </row>
    <row r="188" spans="1:36" x14ac:dyDescent="0.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_xlfn.IFS(HrData[[#This Row],[YearsAtCompany]]&lt;=2,"0-2 yrs",HrData[[#This Row],[YearsAtCompany]]&lt;=5,"3-5 yrs",TRUE,"5+ yrs")</f>
        <v>5+ yrs</v>
      </c>
    </row>
    <row r="189" spans="1:36" x14ac:dyDescent="0.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_xlfn.IFS(HrData[[#This Row],[YearsAtCompany]]&lt;=2,"0-2 yrs",HrData[[#This Row],[YearsAtCompany]]&lt;=5,"3-5 yrs",TRUE,"5+ yrs")</f>
        <v>5+ yrs</v>
      </c>
    </row>
    <row r="190" spans="1:36" x14ac:dyDescent="0.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_xlfn.IFS(HrData[[#This Row],[YearsAtCompany]]&lt;=2,"0-2 yrs",HrData[[#This Row],[YearsAtCompany]]&lt;=5,"3-5 yrs",TRUE,"5+ yrs")</f>
        <v>5+ yrs</v>
      </c>
    </row>
    <row r="191" spans="1:36" x14ac:dyDescent="0.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_xlfn.IFS(HrData[[#This Row],[YearsAtCompany]]&lt;=2,"0-2 yrs",HrData[[#This Row],[YearsAtCompany]]&lt;=5,"3-5 yrs",TRUE,"5+ yrs")</f>
        <v>5+ yrs</v>
      </c>
    </row>
    <row r="192" spans="1:36" x14ac:dyDescent="0.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_xlfn.IFS(HrData[[#This Row],[YearsAtCompany]]&lt;=2,"0-2 yrs",HrData[[#This Row],[YearsAtCompany]]&lt;=5,"3-5 yrs",TRUE,"5+ yrs")</f>
        <v>5+ yrs</v>
      </c>
    </row>
    <row r="193" spans="1:36" x14ac:dyDescent="0.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_xlfn.IFS(HrData[[#This Row],[YearsAtCompany]]&lt;=2,"0-2 yrs",HrData[[#This Row],[YearsAtCompany]]&lt;=5,"3-5 yrs",TRUE,"5+ yrs")</f>
        <v>5+ yrs</v>
      </c>
    </row>
    <row r="194" spans="1:36" x14ac:dyDescent="0.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_xlfn.IFS(HrData[[#This Row],[YearsAtCompany]]&lt;=2,"0-2 yrs",HrData[[#This Row],[YearsAtCompany]]&lt;=5,"3-5 yrs",TRUE,"5+ yrs")</f>
        <v>0-2 yrs</v>
      </c>
    </row>
    <row r="195" spans="1:36" x14ac:dyDescent="0.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cm="1">
        <f t="array" ref="AJ195">_xlfn.IFS(HrData[[#This Row],[YearsAtCompany]]&lt;=2,"0-2 yrs",HrData[[#This Row],[YearsAtCompany]]&lt;=5,"3-5 yrs",TRUE,"5+ yrs")</f>
        <v>3-5 yrs</v>
      </c>
    </row>
    <row r="196" spans="1:36" x14ac:dyDescent="0.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_xlfn.IFS(HrData[[#This Row],[YearsAtCompany]]&lt;=2,"0-2 yrs",HrData[[#This Row],[YearsAtCompany]]&lt;=5,"3-5 yrs",TRUE,"5+ yrs")</f>
        <v>5+ yrs</v>
      </c>
    </row>
    <row r="197" spans="1:36" x14ac:dyDescent="0.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_xlfn.IFS(HrData[[#This Row],[YearsAtCompany]]&lt;=2,"0-2 yrs",HrData[[#This Row],[YearsAtCompany]]&lt;=5,"3-5 yrs",TRUE,"5+ yrs")</f>
        <v>5+ yrs</v>
      </c>
    </row>
    <row r="198" spans="1:36" x14ac:dyDescent="0.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_xlfn.IFS(HrData[[#This Row],[YearsAtCompany]]&lt;=2,"0-2 yrs",HrData[[#This Row],[YearsAtCompany]]&lt;=5,"3-5 yrs",TRUE,"5+ yrs")</f>
        <v>5+ yrs</v>
      </c>
    </row>
    <row r="199" spans="1:36" x14ac:dyDescent="0.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_xlfn.IFS(HrData[[#This Row],[YearsAtCompany]]&lt;=2,"0-2 yrs",HrData[[#This Row],[YearsAtCompany]]&lt;=5,"3-5 yrs",TRUE,"5+ yrs")</f>
        <v>3-5 yrs</v>
      </c>
    </row>
    <row r="200" spans="1:36" x14ac:dyDescent="0.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_xlfn.IFS(HrData[[#This Row],[YearsAtCompany]]&lt;=2,"0-2 yrs",HrData[[#This Row],[YearsAtCompany]]&lt;=5,"3-5 yrs",TRUE,"5+ yrs")</f>
        <v>0-2 yrs</v>
      </c>
    </row>
    <row r="201" spans="1:36" x14ac:dyDescent="0.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cm="1">
        <f t="array" ref="AJ201">_xlfn.IFS(HrData[[#This Row],[YearsAtCompany]]&lt;=2,"0-2 yrs",HrData[[#This Row],[YearsAtCompany]]&lt;=5,"3-5 yrs",TRUE,"5+ yrs")</f>
        <v>5+ yrs</v>
      </c>
    </row>
    <row r="202" spans="1:36" x14ac:dyDescent="0.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_xlfn.IFS(HrData[[#This Row],[YearsAtCompany]]&lt;=2,"0-2 yrs",HrData[[#This Row],[YearsAtCompany]]&lt;=5,"3-5 yrs",TRUE,"5+ yrs")</f>
        <v>0-2 yrs</v>
      </c>
    </row>
    <row r="203" spans="1:36" x14ac:dyDescent="0.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_xlfn.IFS(HrData[[#This Row],[YearsAtCompany]]&lt;=2,"0-2 yrs",HrData[[#This Row],[YearsAtCompany]]&lt;=5,"3-5 yrs",TRUE,"5+ yrs")</f>
        <v>5+ yrs</v>
      </c>
    </row>
    <row r="204" spans="1:36" x14ac:dyDescent="0.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cm="1">
        <f t="array" ref="AJ204">_xlfn.IFS(HrData[[#This Row],[YearsAtCompany]]&lt;=2,"0-2 yrs",HrData[[#This Row],[YearsAtCompany]]&lt;=5,"3-5 yrs",TRUE,"5+ yrs")</f>
        <v>3-5 yrs</v>
      </c>
    </row>
    <row r="205" spans="1:36" x14ac:dyDescent="0.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_xlfn.IFS(HrData[[#This Row],[YearsAtCompany]]&lt;=2,"0-2 yrs",HrData[[#This Row],[YearsAtCompany]]&lt;=5,"3-5 yrs",TRUE,"5+ yrs")</f>
        <v>5+ yrs</v>
      </c>
    </row>
    <row r="206" spans="1:36" x14ac:dyDescent="0.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_xlfn.IFS(HrData[[#This Row],[YearsAtCompany]]&lt;=2,"0-2 yrs",HrData[[#This Row],[YearsAtCompany]]&lt;=5,"3-5 yrs",TRUE,"5+ yrs")</f>
        <v>0-2 yrs</v>
      </c>
    </row>
    <row r="207" spans="1:36" x14ac:dyDescent="0.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_xlfn.IFS(HrData[[#This Row],[YearsAtCompany]]&lt;=2,"0-2 yrs",HrData[[#This Row],[YearsAtCompany]]&lt;=5,"3-5 yrs",TRUE,"5+ yrs")</f>
        <v>5+ yrs</v>
      </c>
    </row>
    <row r="208" spans="1:36" x14ac:dyDescent="0.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_xlfn.IFS(HrData[[#This Row],[YearsAtCompany]]&lt;=2,"0-2 yrs",HrData[[#This Row],[YearsAtCompany]]&lt;=5,"3-5 yrs",TRUE,"5+ yrs")</f>
        <v>3-5 yrs</v>
      </c>
    </row>
    <row r="209" spans="1:36" x14ac:dyDescent="0.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cm="1">
        <f t="array" ref="AJ209">_xlfn.IFS(HrData[[#This Row],[YearsAtCompany]]&lt;=2,"0-2 yrs",HrData[[#This Row],[YearsAtCompany]]&lt;=5,"3-5 yrs",TRUE,"5+ yrs")</f>
        <v>5+ yrs</v>
      </c>
    </row>
    <row r="210" spans="1:36" x14ac:dyDescent="0.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_xlfn.IFS(HrData[[#This Row],[YearsAtCompany]]&lt;=2,"0-2 yrs",HrData[[#This Row],[YearsAtCompany]]&lt;=5,"3-5 yrs",TRUE,"5+ yrs")</f>
        <v>3-5 yrs</v>
      </c>
    </row>
    <row r="211" spans="1:36" x14ac:dyDescent="0.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_xlfn.IFS(HrData[[#This Row],[YearsAtCompany]]&lt;=2,"0-2 yrs",HrData[[#This Row],[YearsAtCompany]]&lt;=5,"3-5 yrs",TRUE,"5+ yrs")</f>
        <v>3-5 yrs</v>
      </c>
    </row>
    <row r="212" spans="1:36" x14ac:dyDescent="0.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_xlfn.IFS(HrData[[#This Row],[YearsAtCompany]]&lt;=2,"0-2 yrs",HrData[[#This Row],[YearsAtCompany]]&lt;=5,"3-5 yrs",TRUE,"5+ yrs")</f>
        <v>5+ yrs</v>
      </c>
    </row>
    <row r="213" spans="1:36" x14ac:dyDescent="0.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_xlfn.IFS(HrData[[#This Row],[YearsAtCompany]]&lt;=2,"0-2 yrs",HrData[[#This Row],[YearsAtCompany]]&lt;=5,"3-5 yrs",TRUE,"5+ yrs")</f>
        <v>5+ yrs</v>
      </c>
    </row>
    <row r="214" spans="1:36" x14ac:dyDescent="0.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_xlfn.IFS(HrData[[#This Row],[YearsAtCompany]]&lt;=2,"0-2 yrs",HrData[[#This Row],[YearsAtCompany]]&lt;=5,"3-5 yrs",TRUE,"5+ yrs")</f>
        <v>5+ yrs</v>
      </c>
    </row>
    <row r="215" spans="1:36" x14ac:dyDescent="0.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_xlfn.IFS(HrData[[#This Row],[YearsAtCompany]]&lt;=2,"0-2 yrs",HrData[[#This Row],[YearsAtCompany]]&lt;=5,"3-5 yrs",TRUE,"5+ yrs")</f>
        <v>5+ yrs</v>
      </c>
    </row>
    <row r="216" spans="1:36" x14ac:dyDescent="0.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cm="1">
        <f t="array" ref="AJ216">_xlfn.IFS(HrData[[#This Row],[YearsAtCompany]]&lt;=2,"0-2 yrs",HrData[[#This Row],[YearsAtCompany]]&lt;=5,"3-5 yrs",TRUE,"5+ yrs")</f>
        <v>3-5 yrs</v>
      </c>
    </row>
    <row r="217" spans="1:36" x14ac:dyDescent="0.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_xlfn.IFS(HrData[[#This Row],[YearsAtCompany]]&lt;=2,"0-2 yrs",HrData[[#This Row],[YearsAtCompany]]&lt;=5,"3-5 yrs",TRUE,"5+ yrs")</f>
        <v>0-2 yrs</v>
      </c>
    </row>
    <row r="218" spans="1:36" x14ac:dyDescent="0.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_xlfn.IFS(HrData[[#This Row],[YearsAtCompany]]&lt;=2,"0-2 yrs",HrData[[#This Row],[YearsAtCompany]]&lt;=5,"3-5 yrs",TRUE,"5+ yrs")</f>
        <v>5+ yrs</v>
      </c>
    </row>
    <row r="219" spans="1:36" x14ac:dyDescent="0.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_xlfn.IFS(HrData[[#This Row],[YearsAtCompany]]&lt;=2,"0-2 yrs",HrData[[#This Row],[YearsAtCompany]]&lt;=5,"3-5 yrs",TRUE,"5+ yrs")</f>
        <v>5+ yrs</v>
      </c>
    </row>
    <row r="220" spans="1:36" x14ac:dyDescent="0.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_xlfn.IFS(HrData[[#This Row],[YearsAtCompany]]&lt;=2,"0-2 yrs",HrData[[#This Row],[YearsAtCompany]]&lt;=5,"3-5 yrs",TRUE,"5+ yrs")</f>
        <v>5+ yrs</v>
      </c>
    </row>
    <row r="221" spans="1:36" x14ac:dyDescent="0.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_xlfn.IFS(HrData[[#This Row],[YearsAtCompany]]&lt;=2,"0-2 yrs",HrData[[#This Row],[YearsAtCompany]]&lt;=5,"3-5 yrs",TRUE,"5+ yrs")</f>
        <v>5+ yrs</v>
      </c>
    </row>
    <row r="222" spans="1:36" x14ac:dyDescent="0.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_xlfn.IFS(HrData[[#This Row],[YearsAtCompany]]&lt;=2,"0-2 yrs",HrData[[#This Row],[YearsAtCompany]]&lt;=5,"3-5 yrs",TRUE,"5+ yrs")</f>
        <v>5+ yrs</v>
      </c>
    </row>
    <row r="223" spans="1:36" x14ac:dyDescent="0.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_xlfn.IFS(HrData[[#This Row],[YearsAtCompany]]&lt;=2,"0-2 yrs",HrData[[#This Row],[YearsAtCompany]]&lt;=5,"3-5 yrs",TRUE,"5+ yrs")</f>
        <v>3-5 yrs</v>
      </c>
    </row>
    <row r="224" spans="1:36" x14ac:dyDescent="0.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_xlfn.IFS(HrData[[#This Row],[YearsAtCompany]]&lt;=2,"0-2 yrs",HrData[[#This Row],[YearsAtCompany]]&lt;=5,"3-5 yrs",TRUE,"5+ yrs")</f>
        <v>5+ yrs</v>
      </c>
    </row>
    <row r="225" spans="1:36" x14ac:dyDescent="0.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_xlfn.IFS(HrData[[#This Row],[YearsAtCompany]]&lt;=2,"0-2 yrs",HrData[[#This Row],[YearsAtCompany]]&lt;=5,"3-5 yrs",TRUE,"5+ yrs")</f>
        <v>5+ yrs</v>
      </c>
    </row>
    <row r="226" spans="1:36" x14ac:dyDescent="0.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cm="1">
        <f t="array" ref="AJ226">_xlfn.IFS(HrData[[#This Row],[YearsAtCompany]]&lt;=2,"0-2 yrs",HrData[[#This Row],[YearsAtCompany]]&lt;=5,"3-5 yrs",TRUE,"5+ yrs")</f>
        <v>3-5 yrs</v>
      </c>
    </row>
    <row r="227" spans="1:36" x14ac:dyDescent="0.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cm="1">
        <f t="array" ref="AJ227">_xlfn.IFS(HrData[[#This Row],[YearsAtCompany]]&lt;=2,"0-2 yrs",HrData[[#This Row],[YearsAtCompany]]&lt;=5,"3-5 yrs",TRUE,"5+ yrs")</f>
        <v>0-2 yrs</v>
      </c>
    </row>
    <row r="228" spans="1:36" x14ac:dyDescent="0.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_xlfn.IFS(HrData[[#This Row],[YearsAtCompany]]&lt;=2,"0-2 yrs",HrData[[#This Row],[YearsAtCompany]]&lt;=5,"3-5 yrs",TRUE,"5+ yrs")</f>
        <v>5+ yrs</v>
      </c>
    </row>
    <row r="229" spans="1:36" x14ac:dyDescent="0.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_xlfn.IFS(HrData[[#This Row],[YearsAtCompany]]&lt;=2,"0-2 yrs",HrData[[#This Row],[YearsAtCompany]]&lt;=5,"3-5 yrs",TRUE,"5+ yrs")</f>
        <v>5+ yrs</v>
      </c>
    </row>
    <row r="230" spans="1:36" x14ac:dyDescent="0.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_xlfn.IFS(HrData[[#This Row],[YearsAtCompany]]&lt;=2,"0-2 yrs",HrData[[#This Row],[YearsAtCompany]]&lt;=5,"3-5 yrs",TRUE,"5+ yrs")</f>
        <v>5+ yrs</v>
      </c>
    </row>
    <row r="231" spans="1:36" x14ac:dyDescent="0.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_xlfn.IFS(HrData[[#This Row],[YearsAtCompany]]&lt;=2,"0-2 yrs",HrData[[#This Row],[YearsAtCompany]]&lt;=5,"3-5 yrs",TRUE,"5+ yrs")</f>
        <v>3-5 yrs</v>
      </c>
    </row>
    <row r="232" spans="1:36" x14ac:dyDescent="0.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_xlfn.IFS(HrData[[#This Row],[YearsAtCompany]]&lt;=2,"0-2 yrs",HrData[[#This Row],[YearsAtCompany]]&lt;=5,"3-5 yrs",TRUE,"5+ yrs")</f>
        <v>0-2 yrs</v>
      </c>
    </row>
    <row r="233" spans="1:36" x14ac:dyDescent="0.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_xlfn.IFS(HrData[[#This Row],[YearsAtCompany]]&lt;=2,"0-2 yrs",HrData[[#This Row],[YearsAtCompany]]&lt;=5,"3-5 yrs",TRUE,"5+ yrs")</f>
        <v>5+ yrs</v>
      </c>
    </row>
    <row r="234" spans="1:36" x14ac:dyDescent="0.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_xlfn.IFS(HrData[[#This Row],[YearsAtCompany]]&lt;=2,"0-2 yrs",HrData[[#This Row],[YearsAtCompany]]&lt;=5,"3-5 yrs",TRUE,"5+ yrs")</f>
        <v>0-2 yrs</v>
      </c>
    </row>
    <row r="235" spans="1:36" x14ac:dyDescent="0.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_xlfn.IFS(HrData[[#This Row],[YearsAtCompany]]&lt;=2,"0-2 yrs",HrData[[#This Row],[YearsAtCompany]]&lt;=5,"3-5 yrs",TRUE,"5+ yrs")</f>
        <v>5+ yrs</v>
      </c>
    </row>
    <row r="236" spans="1:36" x14ac:dyDescent="0.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_xlfn.IFS(HrData[[#This Row],[YearsAtCompany]]&lt;=2,"0-2 yrs",HrData[[#This Row],[YearsAtCompany]]&lt;=5,"3-5 yrs",TRUE,"5+ yrs")</f>
        <v>3-5 yrs</v>
      </c>
    </row>
    <row r="237" spans="1:36" x14ac:dyDescent="0.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_xlfn.IFS(HrData[[#This Row],[YearsAtCompany]]&lt;=2,"0-2 yrs",HrData[[#This Row],[YearsAtCompany]]&lt;=5,"3-5 yrs",TRUE,"5+ yrs")</f>
        <v>5+ yrs</v>
      </c>
    </row>
    <row r="238" spans="1:36" x14ac:dyDescent="0.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_xlfn.IFS(HrData[[#This Row],[YearsAtCompany]]&lt;=2,"0-2 yrs",HrData[[#This Row],[YearsAtCompany]]&lt;=5,"3-5 yrs",TRUE,"5+ yrs")</f>
        <v>5+ yrs</v>
      </c>
    </row>
    <row r="239" spans="1:36" x14ac:dyDescent="0.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_xlfn.IFS(HrData[[#This Row],[YearsAtCompany]]&lt;=2,"0-2 yrs",HrData[[#This Row],[YearsAtCompany]]&lt;=5,"3-5 yrs",TRUE,"5+ yrs")</f>
        <v>5+ yrs</v>
      </c>
    </row>
    <row r="240" spans="1:36" x14ac:dyDescent="0.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_xlfn.IFS(HrData[[#This Row],[YearsAtCompany]]&lt;=2,"0-2 yrs",HrData[[#This Row],[YearsAtCompany]]&lt;=5,"3-5 yrs",TRUE,"5+ yrs")</f>
        <v>3-5 yrs</v>
      </c>
    </row>
    <row r="241" spans="1:36" x14ac:dyDescent="0.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cm="1">
        <f t="array" ref="AJ241">_xlfn.IFS(HrData[[#This Row],[YearsAtCompany]]&lt;=2,"0-2 yrs",HrData[[#This Row],[YearsAtCompany]]&lt;=5,"3-5 yrs",TRUE,"5+ yrs")</f>
        <v>3-5 yrs</v>
      </c>
    </row>
    <row r="242" spans="1:36" x14ac:dyDescent="0.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_xlfn.IFS(HrData[[#This Row],[YearsAtCompany]]&lt;=2,"0-2 yrs",HrData[[#This Row],[YearsAtCompany]]&lt;=5,"3-5 yrs",TRUE,"5+ yrs")</f>
        <v>3-5 yrs</v>
      </c>
    </row>
    <row r="243" spans="1:36" x14ac:dyDescent="0.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_xlfn.IFS(HrData[[#This Row],[YearsAtCompany]]&lt;=2,"0-2 yrs",HrData[[#This Row],[YearsAtCompany]]&lt;=5,"3-5 yrs",TRUE,"5+ yrs")</f>
        <v>3-5 yrs</v>
      </c>
    </row>
    <row r="244" spans="1:36" x14ac:dyDescent="0.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_xlfn.IFS(HrData[[#This Row],[YearsAtCompany]]&lt;=2,"0-2 yrs",HrData[[#This Row],[YearsAtCompany]]&lt;=5,"3-5 yrs",TRUE,"5+ yrs")</f>
        <v>0-2 yrs</v>
      </c>
    </row>
    <row r="245" spans="1:36" x14ac:dyDescent="0.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_xlfn.IFS(HrData[[#This Row],[YearsAtCompany]]&lt;=2,"0-2 yrs",HrData[[#This Row],[YearsAtCompany]]&lt;=5,"3-5 yrs",TRUE,"5+ yrs")</f>
        <v>5+ yrs</v>
      </c>
    </row>
    <row r="246" spans="1:36" x14ac:dyDescent="0.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_xlfn.IFS(HrData[[#This Row],[YearsAtCompany]]&lt;=2,"0-2 yrs",HrData[[#This Row],[YearsAtCompany]]&lt;=5,"3-5 yrs",TRUE,"5+ yrs")</f>
        <v>5+ yrs</v>
      </c>
    </row>
    <row r="247" spans="1:36" x14ac:dyDescent="0.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_xlfn.IFS(HrData[[#This Row],[YearsAtCompany]]&lt;=2,"0-2 yrs",HrData[[#This Row],[YearsAtCompany]]&lt;=5,"3-5 yrs",TRUE,"5+ yrs")</f>
        <v>0-2 yrs</v>
      </c>
    </row>
    <row r="248" spans="1:36" x14ac:dyDescent="0.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_xlfn.IFS(HrData[[#This Row],[YearsAtCompany]]&lt;=2,"0-2 yrs",HrData[[#This Row],[YearsAtCompany]]&lt;=5,"3-5 yrs",TRUE,"5+ yrs")</f>
        <v>0-2 yrs</v>
      </c>
    </row>
    <row r="249" spans="1:36" x14ac:dyDescent="0.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_xlfn.IFS(HrData[[#This Row],[YearsAtCompany]]&lt;=2,"0-2 yrs",HrData[[#This Row],[YearsAtCompany]]&lt;=5,"3-5 yrs",TRUE,"5+ yrs")</f>
        <v>5+ yrs</v>
      </c>
    </row>
    <row r="250" spans="1:36" x14ac:dyDescent="0.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_xlfn.IFS(HrData[[#This Row],[YearsAtCompany]]&lt;=2,"0-2 yrs",HrData[[#This Row],[YearsAtCompany]]&lt;=5,"3-5 yrs",TRUE,"5+ yrs")</f>
        <v>3-5 yrs</v>
      </c>
    </row>
    <row r="251" spans="1:36" x14ac:dyDescent="0.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cm="1">
        <f t="array" ref="AJ251">_xlfn.IFS(HrData[[#This Row],[YearsAtCompany]]&lt;=2,"0-2 yrs",HrData[[#This Row],[YearsAtCompany]]&lt;=5,"3-5 yrs",TRUE,"5+ yrs")</f>
        <v>3-5 yrs</v>
      </c>
    </row>
    <row r="252" spans="1:36" x14ac:dyDescent="0.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_xlfn.IFS(HrData[[#This Row],[YearsAtCompany]]&lt;=2,"0-2 yrs",HrData[[#This Row],[YearsAtCompany]]&lt;=5,"3-5 yrs",TRUE,"5+ yrs")</f>
        <v>0-2 yrs</v>
      </c>
    </row>
    <row r="253" spans="1:36" x14ac:dyDescent="0.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_xlfn.IFS(HrData[[#This Row],[YearsAtCompany]]&lt;=2,"0-2 yrs",HrData[[#This Row],[YearsAtCompany]]&lt;=5,"3-5 yrs",TRUE,"5+ yrs")</f>
        <v>5+ yrs</v>
      </c>
    </row>
    <row r="254" spans="1:36" x14ac:dyDescent="0.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_xlfn.IFS(HrData[[#This Row],[YearsAtCompany]]&lt;=2,"0-2 yrs",HrData[[#This Row],[YearsAtCompany]]&lt;=5,"3-5 yrs",TRUE,"5+ yrs")</f>
        <v>5+ yrs</v>
      </c>
    </row>
    <row r="255" spans="1:36" x14ac:dyDescent="0.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_xlfn.IFS(HrData[[#This Row],[YearsAtCompany]]&lt;=2,"0-2 yrs",HrData[[#This Row],[YearsAtCompany]]&lt;=5,"3-5 yrs",TRUE,"5+ yrs")</f>
        <v>3-5 yrs</v>
      </c>
    </row>
    <row r="256" spans="1:36" x14ac:dyDescent="0.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_xlfn.IFS(HrData[[#This Row],[YearsAtCompany]]&lt;=2,"0-2 yrs",HrData[[#This Row],[YearsAtCompany]]&lt;=5,"3-5 yrs",TRUE,"5+ yrs")</f>
        <v>3-5 yrs</v>
      </c>
    </row>
    <row r="257" spans="1:36" x14ac:dyDescent="0.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cm="1">
        <f t="array" ref="AJ257">_xlfn.IFS(HrData[[#This Row],[YearsAtCompany]]&lt;=2,"0-2 yrs",HrData[[#This Row],[YearsAtCompany]]&lt;=5,"3-5 yrs",TRUE,"5+ yrs")</f>
        <v>3-5 yrs</v>
      </c>
    </row>
    <row r="258" spans="1:36" x14ac:dyDescent="0.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_xlfn.IFS(HrData[[#This Row],[YearsAtCompany]]&lt;=2,"0-2 yrs",HrData[[#This Row],[YearsAtCompany]]&lt;=5,"3-5 yrs",TRUE,"5+ yrs")</f>
        <v>5+ yrs</v>
      </c>
    </row>
    <row r="259" spans="1:36" x14ac:dyDescent="0.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_xlfn.IFS(HrData[[#This Row],[YearsAtCompany]]&lt;=2,"0-2 yrs",HrData[[#This Row],[YearsAtCompany]]&lt;=5,"3-5 yrs",TRUE,"5+ yrs")</f>
        <v>5+ yrs</v>
      </c>
    </row>
    <row r="260" spans="1:36" x14ac:dyDescent="0.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_xlfn.IFS(HrData[[#This Row],[YearsAtCompany]]&lt;=2,"0-2 yrs",HrData[[#This Row],[YearsAtCompany]]&lt;=5,"3-5 yrs",TRUE,"5+ yrs")</f>
        <v>0-2 yrs</v>
      </c>
    </row>
    <row r="261" spans="1:36" x14ac:dyDescent="0.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_xlfn.IFS(HrData[[#This Row],[YearsAtCompany]]&lt;=2,"0-2 yrs",HrData[[#This Row],[YearsAtCompany]]&lt;=5,"3-5 yrs",TRUE,"5+ yrs")</f>
        <v>3-5 yrs</v>
      </c>
    </row>
    <row r="262" spans="1:36" x14ac:dyDescent="0.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_xlfn.IFS(HrData[[#This Row],[YearsAtCompany]]&lt;=2,"0-2 yrs",HrData[[#This Row],[YearsAtCompany]]&lt;=5,"3-5 yrs",TRUE,"5+ yrs")</f>
        <v>3-5 yrs</v>
      </c>
    </row>
    <row r="263" spans="1:36" x14ac:dyDescent="0.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_xlfn.IFS(HrData[[#This Row],[YearsAtCompany]]&lt;=2,"0-2 yrs",HrData[[#This Row],[YearsAtCompany]]&lt;=5,"3-5 yrs",TRUE,"5+ yrs")</f>
        <v>5+ yrs</v>
      </c>
    </row>
    <row r="264" spans="1:36" x14ac:dyDescent="0.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_xlfn.IFS(HrData[[#This Row],[YearsAtCompany]]&lt;=2,"0-2 yrs",HrData[[#This Row],[YearsAtCompany]]&lt;=5,"3-5 yrs",TRUE,"5+ yrs")</f>
        <v>5+ yrs</v>
      </c>
    </row>
    <row r="265" spans="1:36" x14ac:dyDescent="0.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_xlfn.IFS(HrData[[#This Row],[YearsAtCompany]]&lt;=2,"0-2 yrs",HrData[[#This Row],[YearsAtCompany]]&lt;=5,"3-5 yrs",TRUE,"5+ yrs")</f>
        <v>5+ yrs</v>
      </c>
    </row>
    <row r="266" spans="1:36" x14ac:dyDescent="0.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_xlfn.IFS(HrData[[#This Row],[YearsAtCompany]]&lt;=2,"0-2 yrs",HrData[[#This Row],[YearsAtCompany]]&lt;=5,"3-5 yrs",TRUE,"5+ yrs")</f>
        <v>0-2 yrs</v>
      </c>
    </row>
    <row r="267" spans="1:36" x14ac:dyDescent="0.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_xlfn.IFS(HrData[[#This Row],[YearsAtCompany]]&lt;=2,"0-2 yrs",HrData[[#This Row],[YearsAtCompany]]&lt;=5,"3-5 yrs",TRUE,"5+ yrs")</f>
        <v>0-2 yrs</v>
      </c>
    </row>
    <row r="268" spans="1:36" x14ac:dyDescent="0.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_xlfn.IFS(HrData[[#This Row],[YearsAtCompany]]&lt;=2,"0-2 yrs",HrData[[#This Row],[YearsAtCompany]]&lt;=5,"3-5 yrs",TRUE,"5+ yrs")</f>
        <v>5+ yrs</v>
      </c>
    </row>
    <row r="269" spans="1:36" x14ac:dyDescent="0.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_xlfn.IFS(HrData[[#This Row],[YearsAtCompany]]&lt;=2,"0-2 yrs",HrData[[#This Row],[YearsAtCompany]]&lt;=5,"3-5 yrs",TRUE,"5+ yrs")</f>
        <v>5+ yrs</v>
      </c>
    </row>
    <row r="270" spans="1:36" x14ac:dyDescent="0.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_xlfn.IFS(HrData[[#This Row],[YearsAtCompany]]&lt;=2,"0-2 yrs",HrData[[#This Row],[YearsAtCompany]]&lt;=5,"3-5 yrs",TRUE,"5+ yrs")</f>
        <v>5+ yrs</v>
      </c>
    </row>
    <row r="271" spans="1:36" x14ac:dyDescent="0.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_xlfn.IFS(HrData[[#This Row],[YearsAtCompany]]&lt;=2,"0-2 yrs",HrData[[#This Row],[YearsAtCompany]]&lt;=5,"3-5 yrs",TRUE,"5+ yrs")</f>
        <v>5+ yrs</v>
      </c>
    </row>
    <row r="272" spans="1:36" x14ac:dyDescent="0.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_xlfn.IFS(HrData[[#This Row],[YearsAtCompany]]&lt;=2,"0-2 yrs",HrData[[#This Row],[YearsAtCompany]]&lt;=5,"3-5 yrs",TRUE,"5+ yrs")</f>
        <v>5+ yrs</v>
      </c>
    </row>
    <row r="273" spans="1:36" x14ac:dyDescent="0.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_xlfn.IFS(HrData[[#This Row],[YearsAtCompany]]&lt;=2,"0-2 yrs",HrData[[#This Row],[YearsAtCompany]]&lt;=5,"3-5 yrs",TRUE,"5+ yrs")</f>
        <v>5+ yrs</v>
      </c>
    </row>
    <row r="274" spans="1:36" x14ac:dyDescent="0.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cm="1">
        <f t="array" ref="AJ274">_xlfn.IFS(HrData[[#This Row],[YearsAtCompany]]&lt;=2,"0-2 yrs",HrData[[#This Row],[YearsAtCompany]]&lt;=5,"3-5 yrs",TRUE,"5+ yrs")</f>
        <v>3-5 yrs</v>
      </c>
    </row>
    <row r="275" spans="1:36" x14ac:dyDescent="0.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_xlfn.IFS(HrData[[#This Row],[YearsAtCompany]]&lt;=2,"0-2 yrs",HrData[[#This Row],[YearsAtCompany]]&lt;=5,"3-5 yrs",TRUE,"5+ yrs")</f>
        <v>3-5 yrs</v>
      </c>
    </row>
    <row r="276" spans="1:36" x14ac:dyDescent="0.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_xlfn.IFS(HrData[[#This Row],[YearsAtCompany]]&lt;=2,"0-2 yrs",HrData[[#This Row],[YearsAtCompany]]&lt;=5,"3-5 yrs",TRUE,"5+ yrs")</f>
        <v>3-5 yrs</v>
      </c>
    </row>
    <row r="277" spans="1:36" x14ac:dyDescent="0.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_xlfn.IFS(HrData[[#This Row],[YearsAtCompany]]&lt;=2,"0-2 yrs",HrData[[#This Row],[YearsAtCompany]]&lt;=5,"3-5 yrs",TRUE,"5+ yrs")</f>
        <v>3-5 yrs</v>
      </c>
    </row>
    <row r="278" spans="1:36" x14ac:dyDescent="0.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_xlfn.IFS(HrData[[#This Row],[YearsAtCompany]]&lt;=2,"0-2 yrs",HrData[[#This Row],[YearsAtCompany]]&lt;=5,"3-5 yrs",TRUE,"5+ yrs")</f>
        <v>5+ yrs</v>
      </c>
    </row>
    <row r="279" spans="1:36" x14ac:dyDescent="0.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_xlfn.IFS(HrData[[#This Row],[YearsAtCompany]]&lt;=2,"0-2 yrs",HrData[[#This Row],[YearsAtCompany]]&lt;=5,"3-5 yrs",TRUE,"5+ yrs")</f>
        <v>5+ yrs</v>
      </c>
    </row>
    <row r="280" spans="1:36" x14ac:dyDescent="0.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_xlfn.IFS(HrData[[#This Row],[YearsAtCompany]]&lt;=2,"0-2 yrs",HrData[[#This Row],[YearsAtCompany]]&lt;=5,"3-5 yrs",TRUE,"5+ yrs")</f>
        <v>5+ yrs</v>
      </c>
    </row>
    <row r="281" spans="1:36" x14ac:dyDescent="0.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_xlfn.IFS(HrData[[#This Row],[YearsAtCompany]]&lt;=2,"0-2 yrs",HrData[[#This Row],[YearsAtCompany]]&lt;=5,"3-5 yrs",TRUE,"5+ yrs")</f>
        <v>5+ yrs</v>
      </c>
    </row>
    <row r="282" spans="1:36" x14ac:dyDescent="0.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_xlfn.IFS(HrData[[#This Row],[YearsAtCompany]]&lt;=2,"0-2 yrs",HrData[[#This Row],[YearsAtCompany]]&lt;=5,"3-5 yrs",TRUE,"5+ yrs")</f>
        <v>3-5 yrs</v>
      </c>
    </row>
    <row r="283" spans="1:36" x14ac:dyDescent="0.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_xlfn.IFS(HrData[[#This Row],[YearsAtCompany]]&lt;=2,"0-2 yrs",HrData[[#This Row],[YearsAtCompany]]&lt;=5,"3-5 yrs",TRUE,"5+ yrs")</f>
        <v>5+ yrs</v>
      </c>
    </row>
    <row r="284" spans="1:36" x14ac:dyDescent="0.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_xlfn.IFS(HrData[[#This Row],[YearsAtCompany]]&lt;=2,"0-2 yrs",HrData[[#This Row],[YearsAtCompany]]&lt;=5,"3-5 yrs",TRUE,"5+ yrs")</f>
        <v>5+ yrs</v>
      </c>
    </row>
    <row r="285" spans="1:36" x14ac:dyDescent="0.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_xlfn.IFS(HrData[[#This Row],[YearsAtCompany]]&lt;=2,"0-2 yrs",HrData[[#This Row],[YearsAtCompany]]&lt;=5,"3-5 yrs",TRUE,"5+ yrs")</f>
        <v>5+ yrs</v>
      </c>
    </row>
    <row r="286" spans="1:36" x14ac:dyDescent="0.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_xlfn.IFS(HrData[[#This Row],[YearsAtCompany]]&lt;=2,"0-2 yrs",HrData[[#This Row],[YearsAtCompany]]&lt;=5,"3-5 yrs",TRUE,"5+ yrs")</f>
        <v>3-5 yrs</v>
      </c>
    </row>
    <row r="287" spans="1:36" x14ac:dyDescent="0.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_xlfn.IFS(HrData[[#This Row],[YearsAtCompany]]&lt;=2,"0-2 yrs",HrData[[#This Row],[YearsAtCompany]]&lt;=5,"3-5 yrs",TRUE,"5+ yrs")</f>
        <v>5+ yrs</v>
      </c>
    </row>
    <row r="288" spans="1:36" x14ac:dyDescent="0.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_xlfn.IFS(HrData[[#This Row],[YearsAtCompany]]&lt;=2,"0-2 yrs",HrData[[#This Row],[YearsAtCompany]]&lt;=5,"3-5 yrs",TRUE,"5+ yrs")</f>
        <v>0-2 yrs</v>
      </c>
    </row>
    <row r="289" spans="1:36" x14ac:dyDescent="0.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_xlfn.IFS(HrData[[#This Row],[YearsAtCompany]]&lt;=2,"0-2 yrs",HrData[[#This Row],[YearsAtCompany]]&lt;=5,"3-5 yrs",TRUE,"5+ yrs")</f>
        <v>0-2 yrs</v>
      </c>
    </row>
    <row r="290" spans="1:36" x14ac:dyDescent="0.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_xlfn.IFS(HrData[[#This Row],[YearsAtCompany]]&lt;=2,"0-2 yrs",HrData[[#This Row],[YearsAtCompany]]&lt;=5,"3-5 yrs",TRUE,"5+ yrs")</f>
        <v>3-5 yrs</v>
      </c>
    </row>
    <row r="291" spans="1:36" x14ac:dyDescent="0.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cm="1">
        <f t="array" ref="AJ291">_xlfn.IFS(HrData[[#This Row],[YearsAtCompany]]&lt;=2,"0-2 yrs",HrData[[#This Row],[YearsAtCompany]]&lt;=5,"3-5 yrs",TRUE,"5+ yrs")</f>
        <v>3-5 yrs</v>
      </c>
    </row>
    <row r="292" spans="1:36" x14ac:dyDescent="0.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_xlfn.IFS(HrData[[#This Row],[YearsAtCompany]]&lt;=2,"0-2 yrs",HrData[[#This Row],[YearsAtCompany]]&lt;=5,"3-5 yrs",TRUE,"5+ yrs")</f>
        <v>3-5 yrs</v>
      </c>
    </row>
    <row r="293" spans="1:36" x14ac:dyDescent="0.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_xlfn.IFS(HrData[[#This Row],[YearsAtCompany]]&lt;=2,"0-2 yrs",HrData[[#This Row],[YearsAtCompany]]&lt;=5,"3-5 yrs",TRUE,"5+ yrs")</f>
        <v>5+ yrs</v>
      </c>
    </row>
    <row r="294" spans="1:36" x14ac:dyDescent="0.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cm="1">
        <f t="array" ref="AJ294">_xlfn.IFS(HrData[[#This Row],[YearsAtCompany]]&lt;=2,"0-2 yrs",HrData[[#This Row],[YearsAtCompany]]&lt;=5,"3-5 yrs",TRUE,"5+ yrs")</f>
        <v>0-2 yrs</v>
      </c>
    </row>
    <row r="295" spans="1:36" x14ac:dyDescent="0.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cm="1">
        <f t="array" ref="AJ295">_xlfn.IFS(HrData[[#This Row],[YearsAtCompany]]&lt;=2,"0-2 yrs",HrData[[#This Row],[YearsAtCompany]]&lt;=5,"3-5 yrs",TRUE,"5+ yrs")</f>
        <v>5+ yrs</v>
      </c>
    </row>
    <row r="296" spans="1:36" x14ac:dyDescent="0.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_xlfn.IFS(HrData[[#This Row],[YearsAtCompany]]&lt;=2,"0-2 yrs",HrData[[#This Row],[YearsAtCompany]]&lt;=5,"3-5 yrs",TRUE,"5+ yrs")</f>
        <v>3-5 yrs</v>
      </c>
    </row>
    <row r="297" spans="1:36" x14ac:dyDescent="0.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_xlfn.IFS(HrData[[#This Row],[YearsAtCompany]]&lt;=2,"0-2 yrs",HrData[[#This Row],[YearsAtCompany]]&lt;=5,"3-5 yrs",TRUE,"5+ yrs")</f>
        <v>5+ yrs</v>
      </c>
    </row>
    <row r="298" spans="1:36" x14ac:dyDescent="0.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_xlfn.IFS(HrData[[#This Row],[YearsAtCompany]]&lt;=2,"0-2 yrs",HrData[[#This Row],[YearsAtCompany]]&lt;=5,"3-5 yrs",TRUE,"5+ yrs")</f>
        <v>0-2 yrs</v>
      </c>
    </row>
    <row r="299" spans="1:36" x14ac:dyDescent="0.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_xlfn.IFS(HrData[[#This Row],[YearsAtCompany]]&lt;=2,"0-2 yrs",HrData[[#This Row],[YearsAtCompany]]&lt;=5,"3-5 yrs",TRUE,"5+ yrs")</f>
        <v>5+ yrs</v>
      </c>
    </row>
    <row r="300" spans="1:36" x14ac:dyDescent="0.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cm="1">
        <f t="array" ref="AJ300">_xlfn.IFS(HrData[[#This Row],[YearsAtCompany]]&lt;=2,"0-2 yrs",HrData[[#This Row],[YearsAtCompany]]&lt;=5,"3-5 yrs",TRUE,"5+ yrs")</f>
        <v>0-2 yrs</v>
      </c>
    </row>
    <row r="301" spans="1:36" x14ac:dyDescent="0.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_xlfn.IFS(HrData[[#This Row],[YearsAtCompany]]&lt;=2,"0-2 yrs",HrData[[#This Row],[YearsAtCompany]]&lt;=5,"3-5 yrs",TRUE,"5+ yrs")</f>
        <v>3-5 yrs</v>
      </c>
    </row>
    <row r="302" spans="1:36" x14ac:dyDescent="0.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_xlfn.IFS(HrData[[#This Row],[YearsAtCompany]]&lt;=2,"0-2 yrs",HrData[[#This Row],[YearsAtCompany]]&lt;=5,"3-5 yrs",TRUE,"5+ yrs")</f>
        <v>5+ yrs</v>
      </c>
    </row>
    <row r="303" spans="1:36" x14ac:dyDescent="0.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cm="1">
        <f t="array" ref="AJ303">_xlfn.IFS(HrData[[#This Row],[YearsAtCompany]]&lt;=2,"0-2 yrs",HrData[[#This Row],[YearsAtCompany]]&lt;=5,"3-5 yrs",TRUE,"5+ yrs")</f>
        <v>0-2 yrs</v>
      </c>
    </row>
    <row r="304" spans="1:36" x14ac:dyDescent="0.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cm="1">
        <f t="array" ref="AJ304">_xlfn.IFS(HrData[[#This Row],[YearsAtCompany]]&lt;=2,"0-2 yrs",HrData[[#This Row],[YearsAtCompany]]&lt;=5,"3-5 yrs",TRUE,"5+ yrs")</f>
        <v>5+ yrs</v>
      </c>
    </row>
    <row r="305" spans="1:36" x14ac:dyDescent="0.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_xlfn.IFS(HrData[[#This Row],[YearsAtCompany]]&lt;=2,"0-2 yrs",HrData[[#This Row],[YearsAtCompany]]&lt;=5,"3-5 yrs",TRUE,"5+ yrs")</f>
        <v>5+ yrs</v>
      </c>
    </row>
    <row r="306" spans="1:36" x14ac:dyDescent="0.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_xlfn.IFS(HrData[[#This Row],[YearsAtCompany]]&lt;=2,"0-2 yrs",HrData[[#This Row],[YearsAtCompany]]&lt;=5,"3-5 yrs",TRUE,"5+ yrs")</f>
        <v>5+ yrs</v>
      </c>
    </row>
    <row r="307" spans="1:36" x14ac:dyDescent="0.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_xlfn.IFS(HrData[[#This Row],[YearsAtCompany]]&lt;=2,"0-2 yrs",HrData[[#This Row],[YearsAtCompany]]&lt;=5,"3-5 yrs",TRUE,"5+ yrs")</f>
        <v>5+ yrs</v>
      </c>
    </row>
    <row r="308" spans="1:36" x14ac:dyDescent="0.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_xlfn.IFS(HrData[[#This Row],[YearsAtCompany]]&lt;=2,"0-2 yrs",HrData[[#This Row],[YearsAtCompany]]&lt;=5,"3-5 yrs",TRUE,"5+ yrs")</f>
        <v>5+ yrs</v>
      </c>
    </row>
    <row r="309" spans="1:36" x14ac:dyDescent="0.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_xlfn.IFS(HrData[[#This Row],[YearsAtCompany]]&lt;=2,"0-2 yrs",HrData[[#This Row],[YearsAtCompany]]&lt;=5,"3-5 yrs",TRUE,"5+ yrs")</f>
        <v>5+ yrs</v>
      </c>
    </row>
    <row r="310" spans="1:36" x14ac:dyDescent="0.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_xlfn.IFS(HrData[[#This Row],[YearsAtCompany]]&lt;=2,"0-2 yrs",HrData[[#This Row],[YearsAtCompany]]&lt;=5,"3-5 yrs",TRUE,"5+ yrs")</f>
        <v>3-5 yrs</v>
      </c>
    </row>
    <row r="311" spans="1:36" x14ac:dyDescent="0.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_xlfn.IFS(HrData[[#This Row],[YearsAtCompany]]&lt;=2,"0-2 yrs",HrData[[#This Row],[YearsAtCompany]]&lt;=5,"3-5 yrs",TRUE,"5+ yrs")</f>
        <v>3-5 yrs</v>
      </c>
    </row>
    <row r="312" spans="1:36" x14ac:dyDescent="0.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_xlfn.IFS(HrData[[#This Row],[YearsAtCompany]]&lt;=2,"0-2 yrs",HrData[[#This Row],[YearsAtCompany]]&lt;=5,"3-5 yrs",TRUE,"5+ yrs")</f>
        <v>0-2 yrs</v>
      </c>
    </row>
    <row r="313" spans="1:36" x14ac:dyDescent="0.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_xlfn.IFS(HrData[[#This Row],[YearsAtCompany]]&lt;=2,"0-2 yrs",HrData[[#This Row],[YearsAtCompany]]&lt;=5,"3-5 yrs",TRUE,"5+ yrs")</f>
        <v>5+ yrs</v>
      </c>
    </row>
    <row r="314" spans="1:36" x14ac:dyDescent="0.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cm="1">
        <f t="array" ref="AJ314">_xlfn.IFS(HrData[[#This Row],[YearsAtCompany]]&lt;=2,"0-2 yrs",HrData[[#This Row],[YearsAtCompany]]&lt;=5,"3-5 yrs",TRUE,"5+ yrs")</f>
        <v>0-2 yrs</v>
      </c>
    </row>
    <row r="315" spans="1:36" x14ac:dyDescent="0.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_xlfn.IFS(HrData[[#This Row],[YearsAtCompany]]&lt;=2,"0-2 yrs",HrData[[#This Row],[YearsAtCompany]]&lt;=5,"3-5 yrs",TRUE,"5+ yrs")</f>
        <v>5+ yrs</v>
      </c>
    </row>
    <row r="316" spans="1:36" x14ac:dyDescent="0.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_xlfn.IFS(HrData[[#This Row],[YearsAtCompany]]&lt;=2,"0-2 yrs",HrData[[#This Row],[YearsAtCompany]]&lt;=5,"3-5 yrs",TRUE,"5+ yrs")</f>
        <v>5+ yrs</v>
      </c>
    </row>
    <row r="317" spans="1:36" x14ac:dyDescent="0.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_xlfn.IFS(HrData[[#This Row],[YearsAtCompany]]&lt;=2,"0-2 yrs",HrData[[#This Row],[YearsAtCompany]]&lt;=5,"3-5 yrs",TRUE,"5+ yrs")</f>
        <v>5+ yrs</v>
      </c>
    </row>
    <row r="318" spans="1:36" x14ac:dyDescent="0.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_xlfn.IFS(HrData[[#This Row],[YearsAtCompany]]&lt;=2,"0-2 yrs",HrData[[#This Row],[YearsAtCompany]]&lt;=5,"3-5 yrs",TRUE,"5+ yrs")</f>
        <v>5+ yrs</v>
      </c>
    </row>
    <row r="319" spans="1:36" x14ac:dyDescent="0.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_xlfn.IFS(HrData[[#This Row],[YearsAtCompany]]&lt;=2,"0-2 yrs",HrData[[#This Row],[YearsAtCompany]]&lt;=5,"3-5 yrs",TRUE,"5+ yrs")</f>
        <v>5+ yrs</v>
      </c>
    </row>
    <row r="320" spans="1:36" x14ac:dyDescent="0.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_xlfn.IFS(HrData[[#This Row],[YearsAtCompany]]&lt;=2,"0-2 yrs",HrData[[#This Row],[YearsAtCompany]]&lt;=5,"3-5 yrs",TRUE,"5+ yrs")</f>
        <v>3-5 yrs</v>
      </c>
    </row>
    <row r="321" spans="1:36" x14ac:dyDescent="0.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_xlfn.IFS(HrData[[#This Row],[YearsAtCompany]]&lt;=2,"0-2 yrs",HrData[[#This Row],[YearsAtCompany]]&lt;=5,"3-5 yrs",TRUE,"5+ yrs")</f>
        <v>5+ yrs</v>
      </c>
    </row>
    <row r="322" spans="1:36" x14ac:dyDescent="0.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_xlfn.IFS(HrData[[#This Row],[YearsAtCompany]]&lt;=2,"0-2 yrs",HrData[[#This Row],[YearsAtCompany]]&lt;=5,"3-5 yrs",TRUE,"5+ yrs")</f>
        <v>3-5 yrs</v>
      </c>
    </row>
    <row r="323" spans="1:36" x14ac:dyDescent="0.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_xlfn.IFS(HrData[[#This Row],[YearsAtCompany]]&lt;=2,"0-2 yrs",HrData[[#This Row],[YearsAtCompany]]&lt;=5,"3-5 yrs",TRUE,"5+ yrs")</f>
        <v>5+ yrs</v>
      </c>
    </row>
    <row r="324" spans="1:36" x14ac:dyDescent="0.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_xlfn.IFS(HrData[[#This Row],[YearsAtCompany]]&lt;=2,"0-2 yrs",HrData[[#This Row],[YearsAtCompany]]&lt;=5,"3-5 yrs",TRUE,"5+ yrs")</f>
        <v>5+ yrs</v>
      </c>
    </row>
    <row r="325" spans="1:36" x14ac:dyDescent="0.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_xlfn.IFS(HrData[[#This Row],[YearsAtCompany]]&lt;=2,"0-2 yrs",HrData[[#This Row],[YearsAtCompany]]&lt;=5,"3-5 yrs",TRUE,"5+ yrs")</f>
        <v>3-5 yrs</v>
      </c>
    </row>
    <row r="326" spans="1:36" x14ac:dyDescent="0.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_xlfn.IFS(HrData[[#This Row],[YearsAtCompany]]&lt;=2,"0-2 yrs",HrData[[#This Row],[YearsAtCompany]]&lt;=5,"3-5 yrs",TRUE,"5+ yrs")</f>
        <v>5+ yrs</v>
      </c>
    </row>
    <row r="327" spans="1:36" x14ac:dyDescent="0.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_xlfn.IFS(HrData[[#This Row],[YearsAtCompany]]&lt;=2,"0-2 yrs",HrData[[#This Row],[YearsAtCompany]]&lt;=5,"3-5 yrs",TRUE,"5+ yrs")</f>
        <v>5+ yrs</v>
      </c>
    </row>
    <row r="328" spans="1:36" x14ac:dyDescent="0.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_xlfn.IFS(HrData[[#This Row],[YearsAtCompany]]&lt;=2,"0-2 yrs",HrData[[#This Row],[YearsAtCompany]]&lt;=5,"3-5 yrs",TRUE,"5+ yrs")</f>
        <v>5+ yrs</v>
      </c>
    </row>
    <row r="329" spans="1:36" x14ac:dyDescent="0.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_xlfn.IFS(HrData[[#This Row],[YearsAtCompany]]&lt;=2,"0-2 yrs",HrData[[#This Row],[YearsAtCompany]]&lt;=5,"3-5 yrs",TRUE,"5+ yrs")</f>
        <v>0-2 yrs</v>
      </c>
    </row>
    <row r="330" spans="1:36" x14ac:dyDescent="0.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cm="1">
        <f t="array" ref="AJ330">_xlfn.IFS(HrData[[#This Row],[YearsAtCompany]]&lt;=2,"0-2 yrs",HrData[[#This Row],[YearsAtCompany]]&lt;=5,"3-5 yrs",TRUE,"5+ yrs")</f>
        <v>5+ yrs</v>
      </c>
    </row>
    <row r="331" spans="1:36" x14ac:dyDescent="0.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_xlfn.IFS(HrData[[#This Row],[YearsAtCompany]]&lt;=2,"0-2 yrs",HrData[[#This Row],[YearsAtCompany]]&lt;=5,"3-5 yrs",TRUE,"5+ yrs")</f>
        <v>3-5 yrs</v>
      </c>
    </row>
    <row r="332" spans="1:36" x14ac:dyDescent="0.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_xlfn.IFS(HrData[[#This Row],[YearsAtCompany]]&lt;=2,"0-2 yrs",HrData[[#This Row],[YearsAtCompany]]&lt;=5,"3-5 yrs",TRUE,"5+ yrs")</f>
        <v>5+ yrs</v>
      </c>
    </row>
    <row r="333" spans="1:36" x14ac:dyDescent="0.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_xlfn.IFS(HrData[[#This Row],[YearsAtCompany]]&lt;=2,"0-2 yrs",HrData[[#This Row],[YearsAtCompany]]&lt;=5,"3-5 yrs",TRUE,"5+ yrs")</f>
        <v>3-5 yrs</v>
      </c>
    </row>
    <row r="334" spans="1:36" x14ac:dyDescent="0.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_xlfn.IFS(HrData[[#This Row],[YearsAtCompany]]&lt;=2,"0-2 yrs",HrData[[#This Row],[YearsAtCompany]]&lt;=5,"3-5 yrs",TRUE,"5+ yrs")</f>
        <v>3-5 yrs</v>
      </c>
    </row>
    <row r="335" spans="1:36" x14ac:dyDescent="0.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_xlfn.IFS(HrData[[#This Row],[YearsAtCompany]]&lt;=2,"0-2 yrs",HrData[[#This Row],[YearsAtCompany]]&lt;=5,"3-5 yrs",TRUE,"5+ yrs")</f>
        <v>0-2 yrs</v>
      </c>
    </row>
    <row r="336" spans="1:36" x14ac:dyDescent="0.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_xlfn.IFS(HrData[[#This Row],[YearsAtCompany]]&lt;=2,"0-2 yrs",HrData[[#This Row],[YearsAtCompany]]&lt;=5,"3-5 yrs",TRUE,"5+ yrs")</f>
        <v>5+ yrs</v>
      </c>
    </row>
    <row r="337" spans="1:36" x14ac:dyDescent="0.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_xlfn.IFS(HrData[[#This Row],[YearsAtCompany]]&lt;=2,"0-2 yrs",HrData[[#This Row],[YearsAtCompany]]&lt;=5,"3-5 yrs",TRUE,"5+ yrs")</f>
        <v>3-5 yrs</v>
      </c>
    </row>
    <row r="338" spans="1:36" x14ac:dyDescent="0.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cm="1">
        <f t="array" ref="AJ338">_xlfn.IFS(HrData[[#This Row],[YearsAtCompany]]&lt;=2,"0-2 yrs",HrData[[#This Row],[YearsAtCompany]]&lt;=5,"3-5 yrs",TRUE,"5+ yrs")</f>
        <v>5+ yrs</v>
      </c>
    </row>
    <row r="339" spans="1:36" x14ac:dyDescent="0.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cm="1">
        <f t="array" ref="AJ339">_xlfn.IFS(HrData[[#This Row],[YearsAtCompany]]&lt;=2,"0-2 yrs",HrData[[#This Row],[YearsAtCompany]]&lt;=5,"3-5 yrs",TRUE,"5+ yrs")</f>
        <v>3-5 yrs</v>
      </c>
    </row>
    <row r="340" spans="1:36" x14ac:dyDescent="0.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_xlfn.IFS(HrData[[#This Row],[YearsAtCompany]]&lt;=2,"0-2 yrs",HrData[[#This Row],[YearsAtCompany]]&lt;=5,"3-5 yrs",TRUE,"5+ yrs")</f>
        <v>5+ yrs</v>
      </c>
    </row>
    <row r="341" spans="1:36" x14ac:dyDescent="0.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cm="1">
        <f t="array" ref="AJ341">_xlfn.IFS(HrData[[#This Row],[YearsAtCompany]]&lt;=2,"0-2 yrs",HrData[[#This Row],[YearsAtCompany]]&lt;=5,"3-5 yrs",TRUE,"5+ yrs")</f>
        <v>5+ yrs</v>
      </c>
    </row>
    <row r="342" spans="1:36" x14ac:dyDescent="0.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_xlfn.IFS(HrData[[#This Row],[YearsAtCompany]]&lt;=2,"0-2 yrs",HrData[[#This Row],[YearsAtCompany]]&lt;=5,"3-5 yrs",TRUE,"5+ yrs")</f>
        <v>5+ yrs</v>
      </c>
    </row>
    <row r="343" spans="1:36" x14ac:dyDescent="0.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_xlfn.IFS(HrData[[#This Row],[YearsAtCompany]]&lt;=2,"0-2 yrs",HrData[[#This Row],[YearsAtCompany]]&lt;=5,"3-5 yrs",TRUE,"5+ yrs")</f>
        <v>5+ yrs</v>
      </c>
    </row>
    <row r="344" spans="1:36" x14ac:dyDescent="0.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_xlfn.IFS(HrData[[#This Row],[YearsAtCompany]]&lt;=2,"0-2 yrs",HrData[[#This Row],[YearsAtCompany]]&lt;=5,"3-5 yrs",TRUE,"5+ yrs")</f>
        <v>5+ yrs</v>
      </c>
    </row>
    <row r="345" spans="1:36" x14ac:dyDescent="0.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_xlfn.IFS(HrData[[#This Row],[YearsAtCompany]]&lt;=2,"0-2 yrs",HrData[[#This Row],[YearsAtCompany]]&lt;=5,"3-5 yrs",TRUE,"5+ yrs")</f>
        <v>5+ yrs</v>
      </c>
    </row>
    <row r="346" spans="1:36" x14ac:dyDescent="0.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_xlfn.IFS(HrData[[#This Row],[YearsAtCompany]]&lt;=2,"0-2 yrs",HrData[[#This Row],[YearsAtCompany]]&lt;=5,"3-5 yrs",TRUE,"5+ yrs")</f>
        <v>5+ yrs</v>
      </c>
    </row>
    <row r="347" spans="1:36" x14ac:dyDescent="0.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_xlfn.IFS(HrData[[#This Row],[YearsAtCompany]]&lt;=2,"0-2 yrs",HrData[[#This Row],[YearsAtCompany]]&lt;=5,"3-5 yrs",TRUE,"5+ yrs")</f>
        <v>3-5 yrs</v>
      </c>
    </row>
    <row r="348" spans="1:36" x14ac:dyDescent="0.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_xlfn.IFS(HrData[[#This Row],[YearsAtCompany]]&lt;=2,"0-2 yrs",HrData[[#This Row],[YearsAtCompany]]&lt;=5,"3-5 yrs",TRUE,"5+ yrs")</f>
        <v>3-5 yrs</v>
      </c>
    </row>
    <row r="349" spans="1:36" x14ac:dyDescent="0.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_xlfn.IFS(HrData[[#This Row],[YearsAtCompany]]&lt;=2,"0-2 yrs",HrData[[#This Row],[YearsAtCompany]]&lt;=5,"3-5 yrs",TRUE,"5+ yrs")</f>
        <v>0-2 yrs</v>
      </c>
    </row>
    <row r="350" spans="1:36" x14ac:dyDescent="0.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_xlfn.IFS(HrData[[#This Row],[YearsAtCompany]]&lt;=2,"0-2 yrs",HrData[[#This Row],[YearsAtCompany]]&lt;=5,"3-5 yrs",TRUE,"5+ yrs")</f>
        <v>0-2 yrs</v>
      </c>
    </row>
    <row r="351" spans="1:36" x14ac:dyDescent="0.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_xlfn.IFS(HrData[[#This Row],[YearsAtCompany]]&lt;=2,"0-2 yrs",HrData[[#This Row],[YearsAtCompany]]&lt;=5,"3-5 yrs",TRUE,"5+ yrs")</f>
        <v>3-5 yrs</v>
      </c>
    </row>
    <row r="352" spans="1:36" x14ac:dyDescent="0.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_xlfn.IFS(HrData[[#This Row],[YearsAtCompany]]&lt;=2,"0-2 yrs",HrData[[#This Row],[YearsAtCompany]]&lt;=5,"3-5 yrs",TRUE,"5+ yrs")</f>
        <v>3-5 yrs</v>
      </c>
    </row>
    <row r="353" spans="1:36" x14ac:dyDescent="0.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cm="1">
        <f t="array" ref="AJ353">_xlfn.IFS(HrData[[#This Row],[YearsAtCompany]]&lt;=2,"0-2 yrs",HrData[[#This Row],[YearsAtCompany]]&lt;=5,"3-5 yrs",TRUE,"5+ yrs")</f>
        <v>5+ yrs</v>
      </c>
    </row>
    <row r="354" spans="1:36" x14ac:dyDescent="0.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_xlfn.IFS(HrData[[#This Row],[YearsAtCompany]]&lt;=2,"0-2 yrs",HrData[[#This Row],[YearsAtCompany]]&lt;=5,"3-5 yrs",TRUE,"5+ yrs")</f>
        <v>0-2 yrs</v>
      </c>
    </row>
    <row r="355" spans="1:36" x14ac:dyDescent="0.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_xlfn.IFS(HrData[[#This Row],[YearsAtCompany]]&lt;=2,"0-2 yrs",HrData[[#This Row],[YearsAtCompany]]&lt;=5,"3-5 yrs",TRUE,"5+ yrs")</f>
        <v>5+ yrs</v>
      </c>
    </row>
    <row r="356" spans="1:36" x14ac:dyDescent="0.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cm="1">
        <f t="array" ref="AJ356">_xlfn.IFS(HrData[[#This Row],[YearsAtCompany]]&lt;=2,"0-2 yrs",HrData[[#This Row],[YearsAtCompany]]&lt;=5,"3-5 yrs",TRUE,"5+ yrs")</f>
        <v>0-2 yrs</v>
      </c>
    </row>
    <row r="357" spans="1:36" x14ac:dyDescent="0.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_xlfn.IFS(HrData[[#This Row],[YearsAtCompany]]&lt;=2,"0-2 yrs",HrData[[#This Row],[YearsAtCompany]]&lt;=5,"3-5 yrs",TRUE,"5+ yrs")</f>
        <v>5+ yrs</v>
      </c>
    </row>
    <row r="358" spans="1:36" x14ac:dyDescent="0.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_xlfn.IFS(HrData[[#This Row],[YearsAtCompany]]&lt;=2,"0-2 yrs",HrData[[#This Row],[YearsAtCompany]]&lt;=5,"3-5 yrs",TRUE,"5+ yrs")</f>
        <v>0-2 yrs</v>
      </c>
    </row>
    <row r="359" spans="1:36" x14ac:dyDescent="0.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cm="1">
        <f t="array" ref="AJ359">_xlfn.IFS(HrData[[#This Row],[YearsAtCompany]]&lt;=2,"0-2 yrs",HrData[[#This Row],[YearsAtCompany]]&lt;=5,"3-5 yrs",TRUE,"5+ yrs")</f>
        <v>3-5 yrs</v>
      </c>
    </row>
    <row r="360" spans="1:36" x14ac:dyDescent="0.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_xlfn.IFS(HrData[[#This Row],[YearsAtCompany]]&lt;=2,"0-2 yrs",HrData[[#This Row],[YearsAtCompany]]&lt;=5,"3-5 yrs",TRUE,"5+ yrs")</f>
        <v>0-2 yrs</v>
      </c>
    </row>
    <row r="361" spans="1:36" x14ac:dyDescent="0.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_xlfn.IFS(HrData[[#This Row],[YearsAtCompany]]&lt;=2,"0-2 yrs",HrData[[#This Row],[YearsAtCompany]]&lt;=5,"3-5 yrs",TRUE,"5+ yrs")</f>
        <v>5+ yrs</v>
      </c>
    </row>
    <row r="362" spans="1:36" x14ac:dyDescent="0.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_xlfn.IFS(HrData[[#This Row],[YearsAtCompany]]&lt;=2,"0-2 yrs",HrData[[#This Row],[YearsAtCompany]]&lt;=5,"3-5 yrs",TRUE,"5+ yrs")</f>
        <v>3-5 yrs</v>
      </c>
    </row>
    <row r="363" spans="1:36" x14ac:dyDescent="0.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_xlfn.IFS(HrData[[#This Row],[YearsAtCompany]]&lt;=2,"0-2 yrs",HrData[[#This Row],[YearsAtCompany]]&lt;=5,"3-5 yrs",TRUE,"5+ yrs")</f>
        <v>5+ yrs</v>
      </c>
    </row>
    <row r="364" spans="1:36" x14ac:dyDescent="0.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cm="1">
        <f t="array" ref="AJ364">_xlfn.IFS(HrData[[#This Row],[YearsAtCompany]]&lt;=2,"0-2 yrs",HrData[[#This Row],[YearsAtCompany]]&lt;=5,"3-5 yrs",TRUE,"5+ yrs")</f>
        <v>3-5 yrs</v>
      </c>
    </row>
    <row r="365" spans="1:36" x14ac:dyDescent="0.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cm="1">
        <f t="array" ref="AJ365">_xlfn.IFS(HrData[[#This Row],[YearsAtCompany]]&lt;=2,"0-2 yrs",HrData[[#This Row],[YearsAtCompany]]&lt;=5,"3-5 yrs",TRUE,"5+ yrs")</f>
        <v>0-2 yrs</v>
      </c>
    </row>
    <row r="366" spans="1:36" x14ac:dyDescent="0.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_xlfn.IFS(HrData[[#This Row],[YearsAtCompany]]&lt;=2,"0-2 yrs",HrData[[#This Row],[YearsAtCompany]]&lt;=5,"3-5 yrs",TRUE,"5+ yrs")</f>
        <v>3-5 yrs</v>
      </c>
    </row>
    <row r="367" spans="1:36" x14ac:dyDescent="0.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_xlfn.IFS(HrData[[#This Row],[YearsAtCompany]]&lt;=2,"0-2 yrs",HrData[[#This Row],[YearsAtCompany]]&lt;=5,"3-5 yrs",TRUE,"5+ yrs")</f>
        <v>0-2 yrs</v>
      </c>
    </row>
    <row r="368" spans="1:36" x14ac:dyDescent="0.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cm="1">
        <f t="array" ref="AJ368">_xlfn.IFS(HrData[[#This Row],[YearsAtCompany]]&lt;=2,"0-2 yrs",HrData[[#This Row],[YearsAtCompany]]&lt;=5,"3-5 yrs",TRUE,"5+ yrs")</f>
        <v>5+ yrs</v>
      </c>
    </row>
    <row r="369" spans="1:36" x14ac:dyDescent="0.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_xlfn.IFS(HrData[[#This Row],[YearsAtCompany]]&lt;=2,"0-2 yrs",HrData[[#This Row],[YearsAtCompany]]&lt;=5,"3-5 yrs",TRUE,"5+ yrs")</f>
        <v>3-5 yrs</v>
      </c>
    </row>
    <row r="370" spans="1:36" x14ac:dyDescent="0.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cm="1">
        <f t="array" ref="AJ370">_xlfn.IFS(HrData[[#This Row],[YearsAtCompany]]&lt;=2,"0-2 yrs",HrData[[#This Row],[YearsAtCompany]]&lt;=5,"3-5 yrs",TRUE,"5+ yrs")</f>
        <v>5+ yrs</v>
      </c>
    </row>
    <row r="371" spans="1:36" x14ac:dyDescent="0.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cm="1">
        <f t="array" ref="AJ371">_xlfn.IFS(HrData[[#This Row],[YearsAtCompany]]&lt;=2,"0-2 yrs",HrData[[#This Row],[YearsAtCompany]]&lt;=5,"3-5 yrs",TRUE,"5+ yrs")</f>
        <v>0-2 yrs</v>
      </c>
    </row>
    <row r="372" spans="1:36" x14ac:dyDescent="0.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_xlfn.IFS(HrData[[#This Row],[YearsAtCompany]]&lt;=2,"0-2 yrs",HrData[[#This Row],[YearsAtCompany]]&lt;=5,"3-5 yrs",TRUE,"5+ yrs")</f>
        <v>0-2 yrs</v>
      </c>
    </row>
    <row r="373" spans="1:36" x14ac:dyDescent="0.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_xlfn.IFS(HrData[[#This Row],[YearsAtCompany]]&lt;=2,"0-2 yrs",HrData[[#This Row],[YearsAtCompany]]&lt;=5,"3-5 yrs",TRUE,"5+ yrs")</f>
        <v>3-5 yrs</v>
      </c>
    </row>
    <row r="374" spans="1:36" x14ac:dyDescent="0.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_xlfn.IFS(HrData[[#This Row],[YearsAtCompany]]&lt;=2,"0-2 yrs",HrData[[#This Row],[YearsAtCompany]]&lt;=5,"3-5 yrs",TRUE,"5+ yrs")</f>
        <v>0-2 yrs</v>
      </c>
    </row>
    <row r="375" spans="1:36" x14ac:dyDescent="0.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_xlfn.IFS(HrData[[#This Row],[YearsAtCompany]]&lt;=2,"0-2 yrs",HrData[[#This Row],[YearsAtCompany]]&lt;=5,"3-5 yrs",TRUE,"5+ yrs")</f>
        <v>3-5 yrs</v>
      </c>
    </row>
    <row r="376" spans="1:36" x14ac:dyDescent="0.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_xlfn.IFS(HrData[[#This Row],[YearsAtCompany]]&lt;=2,"0-2 yrs",HrData[[#This Row],[YearsAtCompany]]&lt;=5,"3-5 yrs",TRUE,"5+ yrs")</f>
        <v>5+ yrs</v>
      </c>
    </row>
    <row r="377" spans="1:36" x14ac:dyDescent="0.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_xlfn.IFS(HrData[[#This Row],[YearsAtCompany]]&lt;=2,"0-2 yrs",HrData[[#This Row],[YearsAtCompany]]&lt;=5,"3-5 yrs",TRUE,"5+ yrs")</f>
        <v>3-5 yrs</v>
      </c>
    </row>
    <row r="378" spans="1:36" x14ac:dyDescent="0.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_xlfn.IFS(HrData[[#This Row],[YearsAtCompany]]&lt;=2,"0-2 yrs",HrData[[#This Row],[YearsAtCompany]]&lt;=5,"3-5 yrs",TRUE,"5+ yrs")</f>
        <v>5+ yrs</v>
      </c>
    </row>
    <row r="379" spans="1:36" x14ac:dyDescent="0.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_xlfn.IFS(HrData[[#This Row],[YearsAtCompany]]&lt;=2,"0-2 yrs",HrData[[#This Row],[YearsAtCompany]]&lt;=5,"3-5 yrs",TRUE,"5+ yrs")</f>
        <v>0-2 yrs</v>
      </c>
    </row>
    <row r="380" spans="1:36" x14ac:dyDescent="0.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cm="1">
        <f t="array" ref="AJ380">_xlfn.IFS(HrData[[#This Row],[YearsAtCompany]]&lt;=2,"0-2 yrs",HrData[[#This Row],[YearsAtCompany]]&lt;=5,"3-5 yrs",TRUE,"5+ yrs")</f>
        <v>3-5 yrs</v>
      </c>
    </row>
    <row r="381" spans="1:36" x14ac:dyDescent="0.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_xlfn.IFS(HrData[[#This Row],[YearsAtCompany]]&lt;=2,"0-2 yrs",HrData[[#This Row],[YearsAtCompany]]&lt;=5,"3-5 yrs",TRUE,"5+ yrs")</f>
        <v>3-5 yrs</v>
      </c>
    </row>
    <row r="382" spans="1:36" x14ac:dyDescent="0.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_xlfn.IFS(HrData[[#This Row],[YearsAtCompany]]&lt;=2,"0-2 yrs",HrData[[#This Row],[YearsAtCompany]]&lt;=5,"3-5 yrs",TRUE,"5+ yrs")</f>
        <v>3-5 yrs</v>
      </c>
    </row>
    <row r="383" spans="1:36" x14ac:dyDescent="0.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_xlfn.IFS(HrData[[#This Row],[YearsAtCompany]]&lt;=2,"0-2 yrs",HrData[[#This Row],[YearsAtCompany]]&lt;=5,"3-5 yrs",TRUE,"5+ yrs")</f>
        <v>0-2 yrs</v>
      </c>
    </row>
    <row r="384" spans="1:36" x14ac:dyDescent="0.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cm="1">
        <f t="array" ref="AJ384">_xlfn.IFS(HrData[[#This Row],[YearsAtCompany]]&lt;=2,"0-2 yrs",HrData[[#This Row],[YearsAtCompany]]&lt;=5,"3-5 yrs",TRUE,"5+ yrs")</f>
        <v>5+ yrs</v>
      </c>
    </row>
    <row r="385" spans="1:36" x14ac:dyDescent="0.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_xlfn.IFS(HrData[[#This Row],[YearsAtCompany]]&lt;=2,"0-2 yrs",HrData[[#This Row],[YearsAtCompany]]&lt;=5,"3-5 yrs",TRUE,"5+ yrs")</f>
        <v>0-2 yrs</v>
      </c>
    </row>
    <row r="386" spans="1:36" x14ac:dyDescent="0.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_xlfn.IFS(HrData[[#This Row],[YearsAtCompany]]&lt;=2,"0-2 yrs",HrData[[#This Row],[YearsAtCompany]]&lt;=5,"3-5 yrs",TRUE,"5+ yrs")</f>
        <v>5+ yrs</v>
      </c>
    </row>
    <row r="387" spans="1:36" x14ac:dyDescent="0.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cm="1">
        <f t="array" ref="AJ387">_xlfn.IFS(HrData[[#This Row],[YearsAtCompany]]&lt;=2,"0-2 yrs",HrData[[#This Row],[YearsAtCompany]]&lt;=5,"3-5 yrs",TRUE,"5+ yrs")</f>
        <v>0-2 yrs</v>
      </c>
    </row>
    <row r="388" spans="1:36" x14ac:dyDescent="0.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_xlfn.IFS(HrData[[#This Row],[YearsAtCompany]]&lt;=2,"0-2 yrs",HrData[[#This Row],[YearsAtCompany]]&lt;=5,"3-5 yrs",TRUE,"5+ yrs")</f>
        <v>5+ yrs</v>
      </c>
    </row>
    <row r="389" spans="1:36" x14ac:dyDescent="0.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_xlfn.IFS(HrData[[#This Row],[YearsAtCompany]]&lt;=2,"0-2 yrs",HrData[[#This Row],[YearsAtCompany]]&lt;=5,"3-5 yrs",TRUE,"5+ yrs")</f>
        <v>3-5 yrs</v>
      </c>
    </row>
    <row r="390" spans="1:36" x14ac:dyDescent="0.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_xlfn.IFS(HrData[[#This Row],[YearsAtCompany]]&lt;=2,"0-2 yrs",HrData[[#This Row],[YearsAtCompany]]&lt;=5,"3-5 yrs",TRUE,"5+ yrs")</f>
        <v>3-5 yrs</v>
      </c>
    </row>
    <row r="391" spans="1:36" x14ac:dyDescent="0.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_xlfn.IFS(HrData[[#This Row],[YearsAtCompany]]&lt;=2,"0-2 yrs",HrData[[#This Row],[YearsAtCompany]]&lt;=5,"3-5 yrs",TRUE,"5+ yrs")</f>
        <v>0-2 yrs</v>
      </c>
    </row>
    <row r="392" spans="1:36" x14ac:dyDescent="0.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_xlfn.IFS(HrData[[#This Row],[YearsAtCompany]]&lt;=2,"0-2 yrs",HrData[[#This Row],[YearsAtCompany]]&lt;=5,"3-5 yrs",TRUE,"5+ yrs")</f>
        <v>5+ yrs</v>
      </c>
    </row>
    <row r="393" spans="1:36" x14ac:dyDescent="0.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_xlfn.IFS(HrData[[#This Row],[YearsAtCompany]]&lt;=2,"0-2 yrs",HrData[[#This Row],[YearsAtCompany]]&lt;=5,"3-5 yrs",TRUE,"5+ yrs")</f>
        <v>0-2 yrs</v>
      </c>
    </row>
    <row r="394" spans="1:36" x14ac:dyDescent="0.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_xlfn.IFS(HrData[[#This Row],[YearsAtCompany]]&lt;=2,"0-2 yrs",HrData[[#This Row],[YearsAtCompany]]&lt;=5,"3-5 yrs",TRUE,"5+ yrs")</f>
        <v>3-5 yrs</v>
      </c>
    </row>
    <row r="395" spans="1:36" x14ac:dyDescent="0.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_xlfn.IFS(HrData[[#This Row],[YearsAtCompany]]&lt;=2,"0-2 yrs",HrData[[#This Row],[YearsAtCompany]]&lt;=5,"3-5 yrs",TRUE,"5+ yrs")</f>
        <v>3-5 yrs</v>
      </c>
    </row>
    <row r="396" spans="1:36" x14ac:dyDescent="0.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_xlfn.IFS(HrData[[#This Row],[YearsAtCompany]]&lt;=2,"0-2 yrs",HrData[[#This Row],[YearsAtCompany]]&lt;=5,"3-5 yrs",TRUE,"5+ yrs")</f>
        <v>5+ yrs</v>
      </c>
    </row>
    <row r="397" spans="1:36" x14ac:dyDescent="0.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_xlfn.IFS(HrData[[#This Row],[YearsAtCompany]]&lt;=2,"0-2 yrs",HrData[[#This Row],[YearsAtCompany]]&lt;=5,"3-5 yrs",TRUE,"5+ yrs")</f>
        <v>3-5 yrs</v>
      </c>
    </row>
    <row r="398" spans="1:36" x14ac:dyDescent="0.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cm="1">
        <f t="array" ref="AJ398">_xlfn.IFS(HrData[[#This Row],[YearsAtCompany]]&lt;=2,"0-2 yrs",HrData[[#This Row],[YearsAtCompany]]&lt;=5,"3-5 yrs",TRUE,"5+ yrs")</f>
        <v>3-5 yrs</v>
      </c>
    </row>
    <row r="399" spans="1:36" x14ac:dyDescent="0.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_xlfn.IFS(HrData[[#This Row],[YearsAtCompany]]&lt;=2,"0-2 yrs",HrData[[#This Row],[YearsAtCompany]]&lt;=5,"3-5 yrs",TRUE,"5+ yrs")</f>
        <v>3-5 yrs</v>
      </c>
    </row>
    <row r="400" spans="1:36" x14ac:dyDescent="0.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_xlfn.IFS(HrData[[#This Row],[YearsAtCompany]]&lt;=2,"0-2 yrs",HrData[[#This Row],[YearsAtCompany]]&lt;=5,"3-5 yrs",TRUE,"5+ yrs")</f>
        <v>5+ yrs</v>
      </c>
    </row>
    <row r="401" spans="1:36" x14ac:dyDescent="0.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_xlfn.IFS(HrData[[#This Row],[YearsAtCompany]]&lt;=2,"0-2 yrs",HrData[[#This Row],[YearsAtCompany]]&lt;=5,"3-5 yrs",TRUE,"5+ yrs")</f>
        <v>3-5 yrs</v>
      </c>
    </row>
    <row r="402" spans="1:36" x14ac:dyDescent="0.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_xlfn.IFS(HrData[[#This Row],[YearsAtCompany]]&lt;=2,"0-2 yrs",HrData[[#This Row],[YearsAtCompany]]&lt;=5,"3-5 yrs",TRUE,"5+ yrs")</f>
        <v>5+ yrs</v>
      </c>
    </row>
    <row r="403" spans="1:36" x14ac:dyDescent="0.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_xlfn.IFS(HrData[[#This Row],[YearsAtCompany]]&lt;=2,"0-2 yrs",HrData[[#This Row],[YearsAtCompany]]&lt;=5,"3-5 yrs",TRUE,"5+ yrs")</f>
        <v>5+ yrs</v>
      </c>
    </row>
    <row r="404" spans="1:36" x14ac:dyDescent="0.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_xlfn.IFS(HrData[[#This Row],[YearsAtCompany]]&lt;=2,"0-2 yrs",HrData[[#This Row],[YearsAtCompany]]&lt;=5,"3-5 yrs",TRUE,"5+ yrs")</f>
        <v>3-5 yrs</v>
      </c>
    </row>
    <row r="405" spans="1:36" x14ac:dyDescent="0.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_xlfn.IFS(HrData[[#This Row],[YearsAtCompany]]&lt;=2,"0-2 yrs",HrData[[#This Row],[YearsAtCompany]]&lt;=5,"3-5 yrs",TRUE,"5+ yrs")</f>
        <v>5+ yrs</v>
      </c>
    </row>
    <row r="406" spans="1:36" x14ac:dyDescent="0.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_xlfn.IFS(HrData[[#This Row],[YearsAtCompany]]&lt;=2,"0-2 yrs",HrData[[#This Row],[YearsAtCompany]]&lt;=5,"3-5 yrs",TRUE,"5+ yrs")</f>
        <v>5+ yrs</v>
      </c>
    </row>
    <row r="407" spans="1:36" x14ac:dyDescent="0.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cm="1">
        <f t="array" ref="AJ407">_xlfn.IFS(HrData[[#This Row],[YearsAtCompany]]&lt;=2,"0-2 yrs",HrData[[#This Row],[YearsAtCompany]]&lt;=5,"3-5 yrs",TRUE,"5+ yrs")</f>
        <v>0-2 yrs</v>
      </c>
    </row>
    <row r="408" spans="1:36" x14ac:dyDescent="0.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_xlfn.IFS(HrData[[#This Row],[YearsAtCompany]]&lt;=2,"0-2 yrs",HrData[[#This Row],[YearsAtCompany]]&lt;=5,"3-5 yrs",TRUE,"5+ yrs")</f>
        <v>3-5 yrs</v>
      </c>
    </row>
    <row r="409" spans="1:36" x14ac:dyDescent="0.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cm="1">
        <f t="array" ref="AJ409">_xlfn.IFS(HrData[[#This Row],[YearsAtCompany]]&lt;=2,"0-2 yrs",HrData[[#This Row],[YearsAtCompany]]&lt;=5,"3-5 yrs",TRUE,"5+ yrs")</f>
        <v>0-2 yrs</v>
      </c>
    </row>
    <row r="410" spans="1:36" x14ac:dyDescent="0.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_xlfn.IFS(HrData[[#This Row],[YearsAtCompany]]&lt;=2,"0-2 yrs",HrData[[#This Row],[YearsAtCompany]]&lt;=5,"3-5 yrs",TRUE,"5+ yrs")</f>
        <v>3-5 yrs</v>
      </c>
    </row>
    <row r="411" spans="1:36" x14ac:dyDescent="0.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_xlfn.IFS(HrData[[#This Row],[YearsAtCompany]]&lt;=2,"0-2 yrs",HrData[[#This Row],[YearsAtCompany]]&lt;=5,"3-5 yrs",TRUE,"5+ yrs")</f>
        <v>3-5 yrs</v>
      </c>
    </row>
    <row r="412" spans="1:36" x14ac:dyDescent="0.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_xlfn.IFS(HrData[[#This Row],[YearsAtCompany]]&lt;=2,"0-2 yrs",HrData[[#This Row],[YearsAtCompany]]&lt;=5,"3-5 yrs",TRUE,"5+ yrs")</f>
        <v>3-5 yrs</v>
      </c>
    </row>
    <row r="413" spans="1:36" x14ac:dyDescent="0.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_xlfn.IFS(HrData[[#This Row],[YearsAtCompany]]&lt;=2,"0-2 yrs",HrData[[#This Row],[YearsAtCompany]]&lt;=5,"3-5 yrs",TRUE,"5+ yrs")</f>
        <v>5+ yrs</v>
      </c>
    </row>
    <row r="414" spans="1:36" x14ac:dyDescent="0.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_xlfn.IFS(HrData[[#This Row],[YearsAtCompany]]&lt;=2,"0-2 yrs",HrData[[#This Row],[YearsAtCompany]]&lt;=5,"3-5 yrs",TRUE,"5+ yrs")</f>
        <v>5+ yrs</v>
      </c>
    </row>
    <row r="415" spans="1:36" x14ac:dyDescent="0.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cm="1">
        <f t="array" ref="AJ415">_xlfn.IFS(HrData[[#This Row],[YearsAtCompany]]&lt;=2,"0-2 yrs",HrData[[#This Row],[YearsAtCompany]]&lt;=5,"3-5 yrs",TRUE,"5+ yrs")</f>
        <v>5+ yrs</v>
      </c>
    </row>
    <row r="416" spans="1:36" x14ac:dyDescent="0.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_xlfn.IFS(HrData[[#This Row],[YearsAtCompany]]&lt;=2,"0-2 yrs",HrData[[#This Row],[YearsAtCompany]]&lt;=5,"3-5 yrs",TRUE,"5+ yrs")</f>
        <v>3-5 yrs</v>
      </c>
    </row>
    <row r="417" spans="1:36" x14ac:dyDescent="0.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_xlfn.IFS(HrData[[#This Row],[YearsAtCompany]]&lt;=2,"0-2 yrs",HrData[[#This Row],[YearsAtCompany]]&lt;=5,"3-5 yrs",TRUE,"5+ yrs")</f>
        <v>0-2 yrs</v>
      </c>
    </row>
    <row r="418" spans="1:36" x14ac:dyDescent="0.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_xlfn.IFS(HrData[[#This Row],[YearsAtCompany]]&lt;=2,"0-2 yrs",HrData[[#This Row],[YearsAtCompany]]&lt;=5,"3-5 yrs",TRUE,"5+ yrs")</f>
        <v>0-2 yrs</v>
      </c>
    </row>
    <row r="419" spans="1:36" x14ac:dyDescent="0.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_xlfn.IFS(HrData[[#This Row],[YearsAtCompany]]&lt;=2,"0-2 yrs",HrData[[#This Row],[YearsAtCompany]]&lt;=5,"3-5 yrs",TRUE,"5+ yrs")</f>
        <v>5+ yrs</v>
      </c>
    </row>
    <row r="420" spans="1:36" x14ac:dyDescent="0.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cm="1">
        <f t="array" ref="AJ420">_xlfn.IFS(HrData[[#This Row],[YearsAtCompany]]&lt;=2,"0-2 yrs",HrData[[#This Row],[YearsAtCompany]]&lt;=5,"3-5 yrs",TRUE,"5+ yrs")</f>
        <v>3-5 yrs</v>
      </c>
    </row>
    <row r="421" spans="1:36" x14ac:dyDescent="0.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_xlfn.IFS(HrData[[#This Row],[YearsAtCompany]]&lt;=2,"0-2 yrs",HrData[[#This Row],[YearsAtCompany]]&lt;=5,"3-5 yrs",TRUE,"5+ yrs")</f>
        <v>3-5 yrs</v>
      </c>
    </row>
    <row r="422" spans="1:36" x14ac:dyDescent="0.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_xlfn.IFS(HrData[[#This Row],[YearsAtCompany]]&lt;=2,"0-2 yrs",HrData[[#This Row],[YearsAtCompany]]&lt;=5,"3-5 yrs",TRUE,"5+ yrs")</f>
        <v>5+ yrs</v>
      </c>
    </row>
    <row r="423" spans="1:36" x14ac:dyDescent="0.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_xlfn.IFS(HrData[[#This Row],[YearsAtCompany]]&lt;=2,"0-2 yrs",HrData[[#This Row],[YearsAtCompany]]&lt;=5,"3-5 yrs",TRUE,"5+ yrs")</f>
        <v>0-2 yrs</v>
      </c>
    </row>
    <row r="424" spans="1:36" x14ac:dyDescent="0.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_xlfn.IFS(HrData[[#This Row],[YearsAtCompany]]&lt;=2,"0-2 yrs",HrData[[#This Row],[YearsAtCompany]]&lt;=5,"3-5 yrs",TRUE,"5+ yrs")</f>
        <v>0-2 yrs</v>
      </c>
    </row>
    <row r="425" spans="1:36" x14ac:dyDescent="0.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_xlfn.IFS(HrData[[#This Row],[YearsAtCompany]]&lt;=2,"0-2 yrs",HrData[[#This Row],[YearsAtCompany]]&lt;=5,"3-5 yrs",TRUE,"5+ yrs")</f>
        <v>5+ yrs</v>
      </c>
    </row>
    <row r="426" spans="1:36" x14ac:dyDescent="0.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_xlfn.IFS(HrData[[#This Row],[YearsAtCompany]]&lt;=2,"0-2 yrs",HrData[[#This Row],[YearsAtCompany]]&lt;=5,"3-5 yrs",TRUE,"5+ yrs")</f>
        <v>0-2 yrs</v>
      </c>
    </row>
    <row r="427" spans="1:36" x14ac:dyDescent="0.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_xlfn.IFS(HrData[[#This Row],[YearsAtCompany]]&lt;=2,"0-2 yrs",HrData[[#This Row],[YearsAtCompany]]&lt;=5,"3-5 yrs",TRUE,"5+ yrs")</f>
        <v>5+ yrs</v>
      </c>
    </row>
    <row r="428" spans="1:36" x14ac:dyDescent="0.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_xlfn.IFS(HrData[[#This Row],[YearsAtCompany]]&lt;=2,"0-2 yrs",HrData[[#This Row],[YearsAtCompany]]&lt;=5,"3-5 yrs",TRUE,"5+ yrs")</f>
        <v>5+ yrs</v>
      </c>
    </row>
    <row r="429" spans="1:36" x14ac:dyDescent="0.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_xlfn.IFS(HrData[[#This Row],[YearsAtCompany]]&lt;=2,"0-2 yrs",HrData[[#This Row],[YearsAtCompany]]&lt;=5,"3-5 yrs",TRUE,"5+ yrs")</f>
        <v>5+ yrs</v>
      </c>
    </row>
    <row r="430" spans="1:36" x14ac:dyDescent="0.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_xlfn.IFS(HrData[[#This Row],[YearsAtCompany]]&lt;=2,"0-2 yrs",HrData[[#This Row],[YearsAtCompany]]&lt;=5,"3-5 yrs",TRUE,"5+ yrs")</f>
        <v>3-5 yrs</v>
      </c>
    </row>
    <row r="431" spans="1:36" x14ac:dyDescent="0.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_xlfn.IFS(HrData[[#This Row],[YearsAtCompany]]&lt;=2,"0-2 yrs",HrData[[#This Row],[YearsAtCompany]]&lt;=5,"3-5 yrs",TRUE,"5+ yrs")</f>
        <v>3-5 yrs</v>
      </c>
    </row>
    <row r="432" spans="1:36" x14ac:dyDescent="0.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_xlfn.IFS(HrData[[#This Row],[YearsAtCompany]]&lt;=2,"0-2 yrs",HrData[[#This Row],[YearsAtCompany]]&lt;=5,"3-5 yrs",TRUE,"5+ yrs")</f>
        <v>3-5 yrs</v>
      </c>
    </row>
    <row r="433" spans="1:36" x14ac:dyDescent="0.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_xlfn.IFS(HrData[[#This Row],[YearsAtCompany]]&lt;=2,"0-2 yrs",HrData[[#This Row],[YearsAtCompany]]&lt;=5,"3-5 yrs",TRUE,"5+ yrs")</f>
        <v>0-2 yrs</v>
      </c>
    </row>
    <row r="434" spans="1:36" x14ac:dyDescent="0.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_xlfn.IFS(HrData[[#This Row],[YearsAtCompany]]&lt;=2,"0-2 yrs",HrData[[#This Row],[YearsAtCompany]]&lt;=5,"3-5 yrs",TRUE,"5+ yrs")</f>
        <v>5+ yrs</v>
      </c>
    </row>
    <row r="435" spans="1:36" x14ac:dyDescent="0.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_xlfn.IFS(HrData[[#This Row],[YearsAtCompany]]&lt;=2,"0-2 yrs",HrData[[#This Row],[YearsAtCompany]]&lt;=5,"3-5 yrs",TRUE,"5+ yrs")</f>
        <v>3-5 yrs</v>
      </c>
    </row>
    <row r="436" spans="1:36" x14ac:dyDescent="0.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_xlfn.IFS(HrData[[#This Row],[YearsAtCompany]]&lt;=2,"0-2 yrs",HrData[[#This Row],[YearsAtCompany]]&lt;=5,"3-5 yrs",TRUE,"5+ yrs")</f>
        <v>5+ yrs</v>
      </c>
    </row>
    <row r="437" spans="1:36" x14ac:dyDescent="0.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_xlfn.IFS(HrData[[#This Row],[YearsAtCompany]]&lt;=2,"0-2 yrs",HrData[[#This Row],[YearsAtCompany]]&lt;=5,"3-5 yrs",TRUE,"5+ yrs")</f>
        <v>5+ yrs</v>
      </c>
    </row>
    <row r="438" spans="1:36" x14ac:dyDescent="0.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cm="1">
        <f t="array" ref="AJ438">_xlfn.IFS(HrData[[#This Row],[YearsAtCompany]]&lt;=2,"0-2 yrs",HrData[[#This Row],[YearsAtCompany]]&lt;=5,"3-5 yrs",TRUE,"5+ yrs")</f>
        <v>3-5 yrs</v>
      </c>
    </row>
    <row r="439" spans="1:36" x14ac:dyDescent="0.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_xlfn.IFS(HrData[[#This Row],[YearsAtCompany]]&lt;=2,"0-2 yrs",HrData[[#This Row],[YearsAtCompany]]&lt;=5,"3-5 yrs",TRUE,"5+ yrs")</f>
        <v>3-5 yrs</v>
      </c>
    </row>
    <row r="440" spans="1:36" x14ac:dyDescent="0.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_xlfn.IFS(HrData[[#This Row],[YearsAtCompany]]&lt;=2,"0-2 yrs",HrData[[#This Row],[YearsAtCompany]]&lt;=5,"3-5 yrs",TRUE,"5+ yrs")</f>
        <v>5+ yrs</v>
      </c>
    </row>
    <row r="441" spans="1:36" x14ac:dyDescent="0.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_xlfn.IFS(HrData[[#This Row],[YearsAtCompany]]&lt;=2,"0-2 yrs",HrData[[#This Row],[YearsAtCompany]]&lt;=5,"3-5 yrs",TRUE,"5+ yrs")</f>
        <v>0-2 yrs</v>
      </c>
    </row>
    <row r="442" spans="1:36" x14ac:dyDescent="0.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_xlfn.IFS(HrData[[#This Row],[YearsAtCompany]]&lt;=2,"0-2 yrs",HrData[[#This Row],[YearsAtCompany]]&lt;=5,"3-5 yrs",TRUE,"5+ yrs")</f>
        <v>3-5 yrs</v>
      </c>
    </row>
    <row r="443" spans="1:36" x14ac:dyDescent="0.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cm="1">
        <f t="array" ref="AJ443">_xlfn.IFS(HrData[[#This Row],[YearsAtCompany]]&lt;=2,"0-2 yrs",HrData[[#This Row],[YearsAtCompany]]&lt;=5,"3-5 yrs",TRUE,"5+ yrs")</f>
        <v>0-2 yrs</v>
      </c>
    </row>
    <row r="444" spans="1:36" x14ac:dyDescent="0.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_xlfn.IFS(HrData[[#This Row],[YearsAtCompany]]&lt;=2,"0-2 yrs",HrData[[#This Row],[YearsAtCompany]]&lt;=5,"3-5 yrs",TRUE,"5+ yrs")</f>
        <v>5+ yrs</v>
      </c>
    </row>
    <row r="445" spans="1:36" x14ac:dyDescent="0.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cm="1">
        <f t="array" ref="AJ445">_xlfn.IFS(HrData[[#This Row],[YearsAtCompany]]&lt;=2,"0-2 yrs",HrData[[#This Row],[YearsAtCompany]]&lt;=5,"3-5 yrs",TRUE,"5+ yrs")</f>
        <v>0-2 yrs</v>
      </c>
    </row>
    <row r="446" spans="1:36" x14ac:dyDescent="0.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_xlfn.IFS(HrData[[#This Row],[YearsAtCompany]]&lt;=2,"0-2 yrs",HrData[[#This Row],[YearsAtCompany]]&lt;=5,"3-5 yrs",TRUE,"5+ yrs")</f>
        <v>5+ yrs</v>
      </c>
    </row>
    <row r="447" spans="1:36" x14ac:dyDescent="0.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_xlfn.IFS(HrData[[#This Row],[YearsAtCompany]]&lt;=2,"0-2 yrs",HrData[[#This Row],[YearsAtCompany]]&lt;=5,"3-5 yrs",TRUE,"5+ yrs")</f>
        <v>5+ yrs</v>
      </c>
    </row>
    <row r="448" spans="1:36" x14ac:dyDescent="0.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_xlfn.IFS(HrData[[#This Row],[YearsAtCompany]]&lt;=2,"0-2 yrs",HrData[[#This Row],[YearsAtCompany]]&lt;=5,"3-5 yrs",TRUE,"5+ yrs")</f>
        <v>5+ yrs</v>
      </c>
    </row>
    <row r="449" spans="1:36" x14ac:dyDescent="0.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_xlfn.IFS(HrData[[#This Row],[YearsAtCompany]]&lt;=2,"0-2 yrs",HrData[[#This Row],[YearsAtCompany]]&lt;=5,"3-5 yrs",TRUE,"5+ yrs")</f>
        <v>5+ yrs</v>
      </c>
    </row>
    <row r="450" spans="1:36" x14ac:dyDescent="0.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_xlfn.IFS(HrData[[#This Row],[YearsAtCompany]]&lt;=2,"0-2 yrs",HrData[[#This Row],[YearsAtCompany]]&lt;=5,"3-5 yrs",TRUE,"5+ yrs")</f>
        <v>5+ yrs</v>
      </c>
    </row>
    <row r="451" spans="1:36" x14ac:dyDescent="0.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_xlfn.IFS(HrData[[#This Row],[YearsAtCompany]]&lt;=2,"0-2 yrs",HrData[[#This Row],[YearsAtCompany]]&lt;=5,"3-5 yrs",TRUE,"5+ yrs")</f>
        <v>5+ yrs</v>
      </c>
    </row>
    <row r="452" spans="1:36" x14ac:dyDescent="0.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_xlfn.IFS(HrData[[#This Row],[YearsAtCompany]]&lt;=2,"0-2 yrs",HrData[[#This Row],[YearsAtCompany]]&lt;=5,"3-5 yrs",TRUE,"5+ yrs")</f>
        <v>5+ yrs</v>
      </c>
    </row>
    <row r="453" spans="1:36" x14ac:dyDescent="0.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_xlfn.IFS(HrData[[#This Row],[YearsAtCompany]]&lt;=2,"0-2 yrs",HrData[[#This Row],[YearsAtCompany]]&lt;=5,"3-5 yrs",TRUE,"5+ yrs")</f>
        <v>5+ yrs</v>
      </c>
    </row>
    <row r="454" spans="1:36" x14ac:dyDescent="0.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_xlfn.IFS(HrData[[#This Row],[YearsAtCompany]]&lt;=2,"0-2 yrs",HrData[[#This Row],[YearsAtCompany]]&lt;=5,"3-5 yrs",TRUE,"5+ yrs")</f>
        <v>5+ yrs</v>
      </c>
    </row>
    <row r="455" spans="1:36" x14ac:dyDescent="0.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_xlfn.IFS(HrData[[#This Row],[YearsAtCompany]]&lt;=2,"0-2 yrs",HrData[[#This Row],[YearsAtCompany]]&lt;=5,"3-5 yrs",TRUE,"5+ yrs")</f>
        <v>5+ yrs</v>
      </c>
    </row>
    <row r="456" spans="1:36" x14ac:dyDescent="0.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_xlfn.IFS(HrData[[#This Row],[YearsAtCompany]]&lt;=2,"0-2 yrs",HrData[[#This Row],[YearsAtCompany]]&lt;=5,"3-5 yrs",TRUE,"5+ yrs")</f>
        <v>3-5 yrs</v>
      </c>
    </row>
    <row r="457" spans="1:36" x14ac:dyDescent="0.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_xlfn.IFS(HrData[[#This Row],[YearsAtCompany]]&lt;=2,"0-2 yrs",HrData[[#This Row],[YearsAtCompany]]&lt;=5,"3-5 yrs",TRUE,"5+ yrs")</f>
        <v>5+ yrs</v>
      </c>
    </row>
    <row r="458" spans="1:36" x14ac:dyDescent="0.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_xlfn.IFS(HrData[[#This Row],[YearsAtCompany]]&lt;=2,"0-2 yrs",HrData[[#This Row],[YearsAtCompany]]&lt;=5,"3-5 yrs",TRUE,"5+ yrs")</f>
        <v>3-5 yrs</v>
      </c>
    </row>
    <row r="459" spans="1:36" x14ac:dyDescent="0.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cm="1">
        <f t="array" ref="AJ459">_xlfn.IFS(HrData[[#This Row],[YearsAtCompany]]&lt;=2,"0-2 yrs",HrData[[#This Row],[YearsAtCompany]]&lt;=5,"3-5 yrs",TRUE,"5+ yrs")</f>
        <v>0-2 yrs</v>
      </c>
    </row>
    <row r="460" spans="1:36" x14ac:dyDescent="0.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_xlfn.IFS(HrData[[#This Row],[YearsAtCompany]]&lt;=2,"0-2 yrs",HrData[[#This Row],[YearsAtCompany]]&lt;=5,"3-5 yrs",TRUE,"5+ yrs")</f>
        <v>0-2 yrs</v>
      </c>
    </row>
    <row r="461" spans="1:36" x14ac:dyDescent="0.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_xlfn.IFS(HrData[[#This Row],[YearsAtCompany]]&lt;=2,"0-2 yrs",HrData[[#This Row],[YearsAtCompany]]&lt;=5,"3-5 yrs",TRUE,"5+ yrs")</f>
        <v>5+ yrs</v>
      </c>
    </row>
    <row r="462" spans="1:36" x14ac:dyDescent="0.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_xlfn.IFS(HrData[[#This Row],[YearsAtCompany]]&lt;=2,"0-2 yrs",HrData[[#This Row],[YearsAtCompany]]&lt;=5,"3-5 yrs",TRUE,"5+ yrs")</f>
        <v>0-2 yrs</v>
      </c>
    </row>
    <row r="463" spans="1:36" x14ac:dyDescent="0.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cm="1">
        <f t="array" ref="AJ463">_xlfn.IFS(HrData[[#This Row],[YearsAtCompany]]&lt;=2,"0-2 yrs",HrData[[#This Row],[YearsAtCompany]]&lt;=5,"3-5 yrs",TRUE,"5+ yrs")</f>
        <v>3-5 yrs</v>
      </c>
    </row>
    <row r="464" spans="1:36" x14ac:dyDescent="0.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_xlfn.IFS(HrData[[#This Row],[YearsAtCompany]]&lt;=2,"0-2 yrs",HrData[[#This Row],[YearsAtCompany]]&lt;=5,"3-5 yrs",TRUE,"5+ yrs")</f>
        <v>5+ yrs</v>
      </c>
    </row>
    <row r="465" spans="1:36" x14ac:dyDescent="0.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_xlfn.IFS(HrData[[#This Row],[YearsAtCompany]]&lt;=2,"0-2 yrs",HrData[[#This Row],[YearsAtCompany]]&lt;=5,"3-5 yrs",TRUE,"5+ yrs")</f>
        <v>0-2 yrs</v>
      </c>
    </row>
    <row r="466" spans="1:36" x14ac:dyDescent="0.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_xlfn.IFS(HrData[[#This Row],[YearsAtCompany]]&lt;=2,"0-2 yrs",HrData[[#This Row],[YearsAtCompany]]&lt;=5,"3-5 yrs",TRUE,"5+ yrs")</f>
        <v>5+ yrs</v>
      </c>
    </row>
    <row r="467" spans="1:36" x14ac:dyDescent="0.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_xlfn.IFS(HrData[[#This Row],[YearsAtCompany]]&lt;=2,"0-2 yrs",HrData[[#This Row],[YearsAtCompany]]&lt;=5,"3-5 yrs",TRUE,"5+ yrs")</f>
        <v>0-2 yrs</v>
      </c>
    </row>
    <row r="468" spans="1:36" x14ac:dyDescent="0.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_xlfn.IFS(HrData[[#This Row],[YearsAtCompany]]&lt;=2,"0-2 yrs",HrData[[#This Row],[YearsAtCompany]]&lt;=5,"3-5 yrs",TRUE,"5+ yrs")</f>
        <v>5+ yrs</v>
      </c>
    </row>
    <row r="469" spans="1:36" x14ac:dyDescent="0.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_xlfn.IFS(HrData[[#This Row],[YearsAtCompany]]&lt;=2,"0-2 yrs",HrData[[#This Row],[YearsAtCompany]]&lt;=5,"3-5 yrs",TRUE,"5+ yrs")</f>
        <v>5+ yrs</v>
      </c>
    </row>
    <row r="470" spans="1:36" x14ac:dyDescent="0.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_xlfn.IFS(HrData[[#This Row],[YearsAtCompany]]&lt;=2,"0-2 yrs",HrData[[#This Row],[YearsAtCompany]]&lt;=5,"3-5 yrs",TRUE,"5+ yrs")</f>
        <v>5+ yrs</v>
      </c>
    </row>
    <row r="471" spans="1:36" x14ac:dyDescent="0.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_xlfn.IFS(HrData[[#This Row],[YearsAtCompany]]&lt;=2,"0-2 yrs",HrData[[#This Row],[YearsAtCompany]]&lt;=5,"3-5 yrs",TRUE,"5+ yrs")</f>
        <v>3-5 yrs</v>
      </c>
    </row>
    <row r="472" spans="1:36" x14ac:dyDescent="0.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_xlfn.IFS(HrData[[#This Row],[YearsAtCompany]]&lt;=2,"0-2 yrs",HrData[[#This Row],[YearsAtCompany]]&lt;=5,"3-5 yrs",TRUE,"5+ yrs")</f>
        <v>0-2 yrs</v>
      </c>
    </row>
    <row r="473" spans="1:36" x14ac:dyDescent="0.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_xlfn.IFS(HrData[[#This Row],[YearsAtCompany]]&lt;=2,"0-2 yrs",HrData[[#This Row],[YearsAtCompany]]&lt;=5,"3-5 yrs",TRUE,"5+ yrs")</f>
        <v>0-2 yrs</v>
      </c>
    </row>
    <row r="474" spans="1:36" x14ac:dyDescent="0.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_xlfn.IFS(HrData[[#This Row],[YearsAtCompany]]&lt;=2,"0-2 yrs",HrData[[#This Row],[YearsAtCompany]]&lt;=5,"3-5 yrs",TRUE,"5+ yrs")</f>
        <v>5+ yrs</v>
      </c>
    </row>
    <row r="475" spans="1:36" x14ac:dyDescent="0.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_xlfn.IFS(HrData[[#This Row],[YearsAtCompany]]&lt;=2,"0-2 yrs",HrData[[#This Row],[YearsAtCompany]]&lt;=5,"3-5 yrs",TRUE,"5+ yrs")</f>
        <v>5+ yrs</v>
      </c>
    </row>
    <row r="476" spans="1:36" x14ac:dyDescent="0.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_xlfn.IFS(HrData[[#This Row],[YearsAtCompany]]&lt;=2,"0-2 yrs",HrData[[#This Row],[YearsAtCompany]]&lt;=5,"3-5 yrs",TRUE,"5+ yrs")</f>
        <v>5+ yrs</v>
      </c>
    </row>
    <row r="477" spans="1:36" x14ac:dyDescent="0.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cm="1">
        <f t="array" ref="AJ477">_xlfn.IFS(HrData[[#This Row],[YearsAtCompany]]&lt;=2,"0-2 yrs",HrData[[#This Row],[YearsAtCompany]]&lt;=5,"3-5 yrs",TRUE,"5+ yrs")</f>
        <v>3-5 yrs</v>
      </c>
    </row>
    <row r="478" spans="1:36" x14ac:dyDescent="0.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cm="1">
        <f t="array" ref="AJ478">_xlfn.IFS(HrData[[#This Row],[YearsAtCompany]]&lt;=2,"0-2 yrs",HrData[[#This Row],[YearsAtCompany]]&lt;=5,"3-5 yrs",TRUE,"5+ yrs")</f>
        <v>0-2 yrs</v>
      </c>
    </row>
    <row r="479" spans="1:36" x14ac:dyDescent="0.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_xlfn.IFS(HrData[[#This Row],[YearsAtCompany]]&lt;=2,"0-2 yrs",HrData[[#This Row],[YearsAtCompany]]&lt;=5,"3-5 yrs",TRUE,"5+ yrs")</f>
        <v>5+ yrs</v>
      </c>
    </row>
    <row r="480" spans="1:36" x14ac:dyDescent="0.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_xlfn.IFS(HrData[[#This Row],[YearsAtCompany]]&lt;=2,"0-2 yrs",HrData[[#This Row],[YearsAtCompany]]&lt;=5,"3-5 yrs",TRUE,"5+ yrs")</f>
        <v>5+ yrs</v>
      </c>
    </row>
    <row r="481" spans="1:36" x14ac:dyDescent="0.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_xlfn.IFS(HrData[[#This Row],[YearsAtCompany]]&lt;=2,"0-2 yrs",HrData[[#This Row],[YearsAtCompany]]&lt;=5,"3-5 yrs",TRUE,"5+ yrs")</f>
        <v>5+ yrs</v>
      </c>
    </row>
    <row r="482" spans="1:36" x14ac:dyDescent="0.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_xlfn.IFS(HrData[[#This Row],[YearsAtCompany]]&lt;=2,"0-2 yrs",HrData[[#This Row],[YearsAtCompany]]&lt;=5,"3-5 yrs",TRUE,"5+ yrs")</f>
        <v>0-2 yrs</v>
      </c>
    </row>
    <row r="483" spans="1:36" x14ac:dyDescent="0.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_xlfn.IFS(HrData[[#This Row],[YearsAtCompany]]&lt;=2,"0-2 yrs",HrData[[#This Row],[YearsAtCompany]]&lt;=5,"3-5 yrs",TRUE,"5+ yrs")</f>
        <v>5+ yrs</v>
      </c>
    </row>
    <row r="484" spans="1:36" x14ac:dyDescent="0.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_xlfn.IFS(HrData[[#This Row],[YearsAtCompany]]&lt;=2,"0-2 yrs",HrData[[#This Row],[YearsAtCompany]]&lt;=5,"3-5 yrs",TRUE,"5+ yrs")</f>
        <v>3-5 yrs</v>
      </c>
    </row>
    <row r="485" spans="1:36" x14ac:dyDescent="0.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_xlfn.IFS(HrData[[#This Row],[YearsAtCompany]]&lt;=2,"0-2 yrs",HrData[[#This Row],[YearsAtCompany]]&lt;=5,"3-5 yrs",TRUE,"5+ yrs")</f>
        <v>3-5 yrs</v>
      </c>
    </row>
    <row r="486" spans="1:36" x14ac:dyDescent="0.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_xlfn.IFS(HrData[[#This Row],[YearsAtCompany]]&lt;=2,"0-2 yrs",HrData[[#This Row],[YearsAtCompany]]&lt;=5,"3-5 yrs",TRUE,"5+ yrs")</f>
        <v>5+ yrs</v>
      </c>
    </row>
    <row r="487" spans="1:36" x14ac:dyDescent="0.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cm="1">
        <f t="array" ref="AJ487">_xlfn.IFS(HrData[[#This Row],[YearsAtCompany]]&lt;=2,"0-2 yrs",HrData[[#This Row],[YearsAtCompany]]&lt;=5,"3-5 yrs",TRUE,"5+ yrs")</f>
        <v>3-5 yrs</v>
      </c>
    </row>
    <row r="488" spans="1:36" x14ac:dyDescent="0.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_xlfn.IFS(HrData[[#This Row],[YearsAtCompany]]&lt;=2,"0-2 yrs",HrData[[#This Row],[YearsAtCompany]]&lt;=5,"3-5 yrs",TRUE,"5+ yrs")</f>
        <v>3-5 yrs</v>
      </c>
    </row>
    <row r="489" spans="1:36" x14ac:dyDescent="0.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_xlfn.IFS(HrData[[#This Row],[YearsAtCompany]]&lt;=2,"0-2 yrs",HrData[[#This Row],[YearsAtCompany]]&lt;=5,"3-5 yrs",TRUE,"5+ yrs")</f>
        <v>0-2 yrs</v>
      </c>
    </row>
    <row r="490" spans="1:36" x14ac:dyDescent="0.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_xlfn.IFS(HrData[[#This Row],[YearsAtCompany]]&lt;=2,"0-2 yrs",HrData[[#This Row],[YearsAtCompany]]&lt;=5,"3-5 yrs",TRUE,"5+ yrs")</f>
        <v>5+ yrs</v>
      </c>
    </row>
    <row r="491" spans="1:36" x14ac:dyDescent="0.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_xlfn.IFS(HrData[[#This Row],[YearsAtCompany]]&lt;=2,"0-2 yrs",HrData[[#This Row],[YearsAtCompany]]&lt;=5,"3-5 yrs",TRUE,"5+ yrs")</f>
        <v>0-2 yrs</v>
      </c>
    </row>
    <row r="492" spans="1:36" x14ac:dyDescent="0.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_xlfn.IFS(HrData[[#This Row],[YearsAtCompany]]&lt;=2,"0-2 yrs",HrData[[#This Row],[YearsAtCompany]]&lt;=5,"3-5 yrs",TRUE,"5+ yrs")</f>
        <v>0-2 yrs</v>
      </c>
    </row>
    <row r="493" spans="1:36" x14ac:dyDescent="0.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_xlfn.IFS(HrData[[#This Row],[YearsAtCompany]]&lt;=2,"0-2 yrs",HrData[[#This Row],[YearsAtCompany]]&lt;=5,"3-5 yrs",TRUE,"5+ yrs")</f>
        <v>5+ yrs</v>
      </c>
    </row>
    <row r="494" spans="1:36" x14ac:dyDescent="0.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_xlfn.IFS(HrData[[#This Row],[YearsAtCompany]]&lt;=2,"0-2 yrs",HrData[[#This Row],[YearsAtCompany]]&lt;=5,"3-5 yrs",TRUE,"5+ yrs")</f>
        <v>3-5 yrs</v>
      </c>
    </row>
    <row r="495" spans="1:36" x14ac:dyDescent="0.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_xlfn.IFS(HrData[[#This Row],[YearsAtCompany]]&lt;=2,"0-2 yrs",HrData[[#This Row],[YearsAtCompany]]&lt;=5,"3-5 yrs",TRUE,"5+ yrs")</f>
        <v>0-2 yrs</v>
      </c>
    </row>
    <row r="496" spans="1:36" x14ac:dyDescent="0.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cm="1">
        <f t="array" ref="AJ496">_xlfn.IFS(HrData[[#This Row],[YearsAtCompany]]&lt;=2,"0-2 yrs",HrData[[#This Row],[YearsAtCompany]]&lt;=5,"3-5 yrs",TRUE,"5+ yrs")</f>
        <v>5+ yrs</v>
      </c>
    </row>
    <row r="497" spans="1:36" x14ac:dyDescent="0.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_xlfn.IFS(HrData[[#This Row],[YearsAtCompany]]&lt;=2,"0-2 yrs",HrData[[#This Row],[YearsAtCompany]]&lt;=5,"3-5 yrs",TRUE,"5+ yrs")</f>
        <v>3-5 yrs</v>
      </c>
    </row>
    <row r="498" spans="1:36" x14ac:dyDescent="0.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_xlfn.IFS(HrData[[#This Row],[YearsAtCompany]]&lt;=2,"0-2 yrs",HrData[[#This Row],[YearsAtCompany]]&lt;=5,"3-5 yrs",TRUE,"5+ yrs")</f>
        <v>3-5 yrs</v>
      </c>
    </row>
    <row r="499" spans="1:36" x14ac:dyDescent="0.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_xlfn.IFS(HrData[[#This Row],[YearsAtCompany]]&lt;=2,"0-2 yrs",HrData[[#This Row],[YearsAtCompany]]&lt;=5,"3-5 yrs",TRUE,"5+ yrs")</f>
        <v>0-2 yrs</v>
      </c>
    </row>
    <row r="500" spans="1:36" x14ac:dyDescent="0.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_xlfn.IFS(HrData[[#This Row],[YearsAtCompany]]&lt;=2,"0-2 yrs",HrData[[#This Row],[YearsAtCompany]]&lt;=5,"3-5 yrs",TRUE,"5+ yrs")</f>
        <v>0-2 yrs</v>
      </c>
    </row>
    <row r="501" spans="1:36" x14ac:dyDescent="0.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_xlfn.IFS(HrData[[#This Row],[YearsAtCompany]]&lt;=2,"0-2 yrs",HrData[[#This Row],[YearsAtCompany]]&lt;=5,"3-5 yrs",TRUE,"5+ yrs")</f>
        <v>3-5 yrs</v>
      </c>
    </row>
    <row r="502" spans="1:36" x14ac:dyDescent="0.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_xlfn.IFS(HrData[[#This Row],[YearsAtCompany]]&lt;=2,"0-2 yrs",HrData[[#This Row],[YearsAtCompany]]&lt;=5,"3-5 yrs",TRUE,"5+ yrs")</f>
        <v>5+ yrs</v>
      </c>
    </row>
    <row r="503" spans="1:36" x14ac:dyDescent="0.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_xlfn.IFS(HrData[[#This Row],[YearsAtCompany]]&lt;=2,"0-2 yrs",HrData[[#This Row],[YearsAtCompany]]&lt;=5,"3-5 yrs",TRUE,"5+ yrs")</f>
        <v>0-2 yrs</v>
      </c>
    </row>
    <row r="504" spans="1:36" x14ac:dyDescent="0.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_xlfn.IFS(HrData[[#This Row],[YearsAtCompany]]&lt;=2,"0-2 yrs",HrData[[#This Row],[YearsAtCompany]]&lt;=5,"3-5 yrs",TRUE,"5+ yrs")</f>
        <v>5+ yrs</v>
      </c>
    </row>
    <row r="505" spans="1:36" x14ac:dyDescent="0.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_xlfn.IFS(HrData[[#This Row],[YearsAtCompany]]&lt;=2,"0-2 yrs",HrData[[#This Row],[YearsAtCompany]]&lt;=5,"3-5 yrs",TRUE,"5+ yrs")</f>
        <v>5+ yrs</v>
      </c>
    </row>
    <row r="506" spans="1:36" x14ac:dyDescent="0.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cm="1">
        <f t="array" ref="AJ506">_xlfn.IFS(HrData[[#This Row],[YearsAtCompany]]&lt;=2,"0-2 yrs",HrData[[#This Row],[YearsAtCompany]]&lt;=5,"3-5 yrs",TRUE,"5+ yrs")</f>
        <v>0-2 yrs</v>
      </c>
    </row>
    <row r="507" spans="1:36" x14ac:dyDescent="0.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_xlfn.IFS(HrData[[#This Row],[YearsAtCompany]]&lt;=2,"0-2 yrs",HrData[[#This Row],[YearsAtCompany]]&lt;=5,"3-5 yrs",TRUE,"5+ yrs")</f>
        <v>3-5 yrs</v>
      </c>
    </row>
    <row r="508" spans="1:36" x14ac:dyDescent="0.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_xlfn.IFS(HrData[[#This Row],[YearsAtCompany]]&lt;=2,"0-2 yrs",HrData[[#This Row],[YearsAtCompany]]&lt;=5,"3-5 yrs",TRUE,"5+ yrs")</f>
        <v>5+ yrs</v>
      </c>
    </row>
    <row r="509" spans="1:36" x14ac:dyDescent="0.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cm="1">
        <f t="array" ref="AJ509">_xlfn.IFS(HrData[[#This Row],[YearsAtCompany]]&lt;=2,"0-2 yrs",HrData[[#This Row],[YearsAtCompany]]&lt;=5,"3-5 yrs",TRUE,"5+ yrs")</f>
        <v>5+ yrs</v>
      </c>
    </row>
    <row r="510" spans="1:36" x14ac:dyDescent="0.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_xlfn.IFS(HrData[[#This Row],[YearsAtCompany]]&lt;=2,"0-2 yrs",HrData[[#This Row],[YearsAtCompany]]&lt;=5,"3-5 yrs",TRUE,"5+ yrs")</f>
        <v>5+ yrs</v>
      </c>
    </row>
    <row r="511" spans="1:36" x14ac:dyDescent="0.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_xlfn.IFS(HrData[[#This Row],[YearsAtCompany]]&lt;=2,"0-2 yrs",HrData[[#This Row],[YearsAtCompany]]&lt;=5,"3-5 yrs",TRUE,"5+ yrs")</f>
        <v>5+ yrs</v>
      </c>
    </row>
    <row r="512" spans="1:36" x14ac:dyDescent="0.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_xlfn.IFS(HrData[[#This Row],[YearsAtCompany]]&lt;=2,"0-2 yrs",HrData[[#This Row],[YearsAtCompany]]&lt;=5,"3-5 yrs",TRUE,"5+ yrs")</f>
        <v>5+ yrs</v>
      </c>
    </row>
    <row r="513" spans="1:36" x14ac:dyDescent="0.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_xlfn.IFS(HrData[[#This Row],[YearsAtCompany]]&lt;=2,"0-2 yrs",HrData[[#This Row],[YearsAtCompany]]&lt;=5,"3-5 yrs",TRUE,"5+ yrs")</f>
        <v>3-5 yrs</v>
      </c>
    </row>
    <row r="514" spans="1:36" x14ac:dyDescent="0.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_xlfn.IFS(HrData[[#This Row],[YearsAtCompany]]&lt;=2,"0-2 yrs",HrData[[#This Row],[YearsAtCompany]]&lt;=5,"3-5 yrs",TRUE,"5+ yrs")</f>
        <v>3-5 yrs</v>
      </c>
    </row>
    <row r="515" spans="1:36" x14ac:dyDescent="0.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_xlfn.IFS(HrData[[#This Row],[YearsAtCompany]]&lt;=2,"0-2 yrs",HrData[[#This Row],[YearsAtCompany]]&lt;=5,"3-5 yrs",TRUE,"5+ yrs")</f>
        <v>0-2 yrs</v>
      </c>
    </row>
    <row r="516" spans="1:36" x14ac:dyDescent="0.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_xlfn.IFS(HrData[[#This Row],[YearsAtCompany]]&lt;=2,"0-2 yrs",HrData[[#This Row],[YearsAtCompany]]&lt;=5,"3-5 yrs",TRUE,"5+ yrs")</f>
        <v>5+ yrs</v>
      </c>
    </row>
    <row r="517" spans="1:36" x14ac:dyDescent="0.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_xlfn.IFS(HrData[[#This Row],[YearsAtCompany]]&lt;=2,"0-2 yrs",HrData[[#This Row],[YearsAtCompany]]&lt;=5,"3-5 yrs",TRUE,"5+ yrs")</f>
        <v>0-2 yrs</v>
      </c>
    </row>
    <row r="518" spans="1:36" x14ac:dyDescent="0.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cm="1">
        <f t="array" ref="AJ518">_xlfn.IFS(HrData[[#This Row],[YearsAtCompany]]&lt;=2,"0-2 yrs",HrData[[#This Row],[YearsAtCompany]]&lt;=5,"3-5 yrs",TRUE,"5+ yrs")</f>
        <v>3-5 yrs</v>
      </c>
    </row>
    <row r="519" spans="1:36" x14ac:dyDescent="0.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_xlfn.IFS(HrData[[#This Row],[YearsAtCompany]]&lt;=2,"0-2 yrs",HrData[[#This Row],[YearsAtCompany]]&lt;=5,"3-5 yrs",TRUE,"5+ yrs")</f>
        <v>3-5 yrs</v>
      </c>
    </row>
    <row r="520" spans="1:36" x14ac:dyDescent="0.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cm="1">
        <f t="array" ref="AJ520">_xlfn.IFS(HrData[[#This Row],[YearsAtCompany]]&lt;=2,"0-2 yrs",HrData[[#This Row],[YearsAtCompany]]&lt;=5,"3-5 yrs",TRUE,"5+ yrs")</f>
        <v>5+ yrs</v>
      </c>
    </row>
    <row r="521" spans="1:36" x14ac:dyDescent="0.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_xlfn.IFS(HrData[[#This Row],[YearsAtCompany]]&lt;=2,"0-2 yrs",HrData[[#This Row],[YearsAtCompany]]&lt;=5,"3-5 yrs",TRUE,"5+ yrs")</f>
        <v>5+ yrs</v>
      </c>
    </row>
    <row r="522" spans="1:36" x14ac:dyDescent="0.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_xlfn.IFS(HrData[[#This Row],[YearsAtCompany]]&lt;=2,"0-2 yrs",HrData[[#This Row],[YearsAtCompany]]&lt;=5,"3-5 yrs",TRUE,"5+ yrs")</f>
        <v>0-2 yrs</v>
      </c>
    </row>
    <row r="523" spans="1:36" x14ac:dyDescent="0.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_xlfn.IFS(HrData[[#This Row],[YearsAtCompany]]&lt;=2,"0-2 yrs",HrData[[#This Row],[YearsAtCompany]]&lt;=5,"3-5 yrs",TRUE,"5+ yrs")</f>
        <v>5+ yrs</v>
      </c>
    </row>
    <row r="524" spans="1:36" x14ac:dyDescent="0.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_xlfn.IFS(HrData[[#This Row],[YearsAtCompany]]&lt;=2,"0-2 yrs",HrData[[#This Row],[YearsAtCompany]]&lt;=5,"3-5 yrs",TRUE,"5+ yrs")</f>
        <v>0-2 yrs</v>
      </c>
    </row>
    <row r="525" spans="1:36" x14ac:dyDescent="0.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_xlfn.IFS(HrData[[#This Row],[YearsAtCompany]]&lt;=2,"0-2 yrs",HrData[[#This Row],[YearsAtCompany]]&lt;=5,"3-5 yrs",TRUE,"5+ yrs")</f>
        <v>5+ yrs</v>
      </c>
    </row>
    <row r="526" spans="1:36" x14ac:dyDescent="0.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_xlfn.IFS(HrData[[#This Row],[YearsAtCompany]]&lt;=2,"0-2 yrs",HrData[[#This Row],[YearsAtCompany]]&lt;=5,"3-5 yrs",TRUE,"5+ yrs")</f>
        <v>5+ yrs</v>
      </c>
    </row>
    <row r="527" spans="1:36" x14ac:dyDescent="0.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_xlfn.IFS(HrData[[#This Row],[YearsAtCompany]]&lt;=2,"0-2 yrs",HrData[[#This Row],[YearsAtCompany]]&lt;=5,"3-5 yrs",TRUE,"5+ yrs")</f>
        <v>0-2 yrs</v>
      </c>
    </row>
    <row r="528" spans="1:36" x14ac:dyDescent="0.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_xlfn.IFS(HrData[[#This Row],[YearsAtCompany]]&lt;=2,"0-2 yrs",HrData[[#This Row],[YearsAtCompany]]&lt;=5,"3-5 yrs",TRUE,"5+ yrs")</f>
        <v>5+ yrs</v>
      </c>
    </row>
    <row r="529" spans="1:36" x14ac:dyDescent="0.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_xlfn.IFS(HrData[[#This Row],[YearsAtCompany]]&lt;=2,"0-2 yrs",HrData[[#This Row],[YearsAtCompany]]&lt;=5,"3-5 yrs",TRUE,"5+ yrs")</f>
        <v>5+ yrs</v>
      </c>
    </row>
    <row r="530" spans="1:36" x14ac:dyDescent="0.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_xlfn.IFS(HrData[[#This Row],[YearsAtCompany]]&lt;=2,"0-2 yrs",HrData[[#This Row],[YearsAtCompany]]&lt;=5,"3-5 yrs",TRUE,"5+ yrs")</f>
        <v>3-5 yrs</v>
      </c>
    </row>
    <row r="531" spans="1:36" x14ac:dyDescent="0.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_xlfn.IFS(HrData[[#This Row],[YearsAtCompany]]&lt;=2,"0-2 yrs",HrData[[#This Row],[YearsAtCompany]]&lt;=5,"3-5 yrs",TRUE,"5+ yrs")</f>
        <v>5+ yrs</v>
      </c>
    </row>
    <row r="532" spans="1:36" x14ac:dyDescent="0.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_xlfn.IFS(HrData[[#This Row],[YearsAtCompany]]&lt;=2,"0-2 yrs",HrData[[#This Row],[YearsAtCompany]]&lt;=5,"3-5 yrs",TRUE,"5+ yrs")</f>
        <v>5+ yrs</v>
      </c>
    </row>
    <row r="533" spans="1:36" x14ac:dyDescent="0.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_xlfn.IFS(HrData[[#This Row],[YearsAtCompany]]&lt;=2,"0-2 yrs",HrData[[#This Row],[YearsAtCompany]]&lt;=5,"3-5 yrs",TRUE,"5+ yrs")</f>
        <v>5+ yrs</v>
      </c>
    </row>
    <row r="534" spans="1:36" x14ac:dyDescent="0.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_xlfn.IFS(HrData[[#This Row],[YearsAtCompany]]&lt;=2,"0-2 yrs",HrData[[#This Row],[YearsAtCompany]]&lt;=5,"3-5 yrs",TRUE,"5+ yrs")</f>
        <v>5+ yrs</v>
      </c>
    </row>
    <row r="535" spans="1:36" x14ac:dyDescent="0.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_xlfn.IFS(HrData[[#This Row],[YearsAtCompany]]&lt;=2,"0-2 yrs",HrData[[#This Row],[YearsAtCompany]]&lt;=5,"3-5 yrs",TRUE,"5+ yrs")</f>
        <v>5+ yrs</v>
      </c>
    </row>
    <row r="536" spans="1:36" x14ac:dyDescent="0.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_xlfn.IFS(HrData[[#This Row],[YearsAtCompany]]&lt;=2,"0-2 yrs",HrData[[#This Row],[YearsAtCompany]]&lt;=5,"3-5 yrs",TRUE,"5+ yrs")</f>
        <v>3-5 yrs</v>
      </c>
    </row>
    <row r="537" spans="1:36" x14ac:dyDescent="0.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_xlfn.IFS(HrData[[#This Row],[YearsAtCompany]]&lt;=2,"0-2 yrs",HrData[[#This Row],[YearsAtCompany]]&lt;=5,"3-5 yrs",TRUE,"5+ yrs")</f>
        <v>5+ yrs</v>
      </c>
    </row>
    <row r="538" spans="1:36" x14ac:dyDescent="0.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_xlfn.IFS(HrData[[#This Row],[YearsAtCompany]]&lt;=2,"0-2 yrs",HrData[[#This Row],[YearsAtCompany]]&lt;=5,"3-5 yrs",TRUE,"5+ yrs")</f>
        <v>0-2 yrs</v>
      </c>
    </row>
    <row r="539" spans="1:36" x14ac:dyDescent="0.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cm="1">
        <f t="array" ref="AJ539">_xlfn.IFS(HrData[[#This Row],[YearsAtCompany]]&lt;=2,"0-2 yrs",HrData[[#This Row],[YearsAtCompany]]&lt;=5,"3-5 yrs",TRUE,"5+ yrs")</f>
        <v>5+ yrs</v>
      </c>
    </row>
    <row r="540" spans="1:36" x14ac:dyDescent="0.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_xlfn.IFS(HrData[[#This Row],[YearsAtCompany]]&lt;=2,"0-2 yrs",HrData[[#This Row],[YearsAtCompany]]&lt;=5,"3-5 yrs",TRUE,"5+ yrs")</f>
        <v>5+ yrs</v>
      </c>
    </row>
    <row r="541" spans="1:36" x14ac:dyDescent="0.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cm="1">
        <f t="array" ref="AJ541">_xlfn.IFS(HrData[[#This Row],[YearsAtCompany]]&lt;=2,"0-2 yrs",HrData[[#This Row],[YearsAtCompany]]&lt;=5,"3-5 yrs",TRUE,"5+ yrs")</f>
        <v>0-2 yrs</v>
      </c>
    </row>
    <row r="542" spans="1:36" x14ac:dyDescent="0.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_xlfn.IFS(HrData[[#This Row],[YearsAtCompany]]&lt;=2,"0-2 yrs",HrData[[#This Row],[YearsAtCompany]]&lt;=5,"3-5 yrs",TRUE,"5+ yrs")</f>
        <v>5+ yrs</v>
      </c>
    </row>
    <row r="543" spans="1:36" x14ac:dyDescent="0.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_xlfn.IFS(HrData[[#This Row],[YearsAtCompany]]&lt;=2,"0-2 yrs",HrData[[#This Row],[YearsAtCompany]]&lt;=5,"3-5 yrs",TRUE,"5+ yrs")</f>
        <v>5+ yrs</v>
      </c>
    </row>
    <row r="544" spans="1:36" x14ac:dyDescent="0.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_xlfn.IFS(HrData[[#This Row],[YearsAtCompany]]&lt;=2,"0-2 yrs",HrData[[#This Row],[YearsAtCompany]]&lt;=5,"3-5 yrs",TRUE,"5+ yrs")</f>
        <v>0-2 yrs</v>
      </c>
    </row>
    <row r="545" spans="1:36" x14ac:dyDescent="0.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cm="1">
        <f t="array" ref="AJ545">_xlfn.IFS(HrData[[#This Row],[YearsAtCompany]]&lt;=2,"0-2 yrs",HrData[[#This Row],[YearsAtCompany]]&lt;=5,"3-5 yrs",TRUE,"5+ yrs")</f>
        <v>3-5 yrs</v>
      </c>
    </row>
    <row r="546" spans="1:36" x14ac:dyDescent="0.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_xlfn.IFS(HrData[[#This Row],[YearsAtCompany]]&lt;=2,"0-2 yrs",HrData[[#This Row],[YearsAtCompany]]&lt;=5,"3-5 yrs",TRUE,"5+ yrs")</f>
        <v>5+ yrs</v>
      </c>
    </row>
    <row r="547" spans="1:36" x14ac:dyDescent="0.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_xlfn.IFS(HrData[[#This Row],[YearsAtCompany]]&lt;=2,"0-2 yrs",HrData[[#This Row],[YearsAtCompany]]&lt;=5,"3-5 yrs",TRUE,"5+ yrs")</f>
        <v>5+ yrs</v>
      </c>
    </row>
    <row r="548" spans="1:36" x14ac:dyDescent="0.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cm="1">
        <f t="array" ref="AJ548">_xlfn.IFS(HrData[[#This Row],[YearsAtCompany]]&lt;=2,"0-2 yrs",HrData[[#This Row],[YearsAtCompany]]&lt;=5,"3-5 yrs",TRUE,"5+ yrs")</f>
        <v>0-2 yrs</v>
      </c>
    </row>
    <row r="549" spans="1:36" x14ac:dyDescent="0.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_xlfn.IFS(HrData[[#This Row],[YearsAtCompany]]&lt;=2,"0-2 yrs",HrData[[#This Row],[YearsAtCompany]]&lt;=5,"3-5 yrs",TRUE,"5+ yrs")</f>
        <v>0-2 yrs</v>
      </c>
    </row>
    <row r="550" spans="1:36" x14ac:dyDescent="0.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_xlfn.IFS(HrData[[#This Row],[YearsAtCompany]]&lt;=2,"0-2 yrs",HrData[[#This Row],[YearsAtCompany]]&lt;=5,"3-5 yrs",TRUE,"5+ yrs")</f>
        <v>0-2 yrs</v>
      </c>
    </row>
    <row r="551" spans="1:36" x14ac:dyDescent="0.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_xlfn.IFS(HrData[[#This Row],[YearsAtCompany]]&lt;=2,"0-2 yrs",HrData[[#This Row],[YearsAtCompany]]&lt;=5,"3-5 yrs",TRUE,"5+ yrs")</f>
        <v>3-5 yrs</v>
      </c>
    </row>
    <row r="552" spans="1:36" x14ac:dyDescent="0.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_xlfn.IFS(HrData[[#This Row],[YearsAtCompany]]&lt;=2,"0-2 yrs",HrData[[#This Row],[YearsAtCompany]]&lt;=5,"3-5 yrs",TRUE,"5+ yrs")</f>
        <v>3-5 yrs</v>
      </c>
    </row>
    <row r="553" spans="1:36" x14ac:dyDescent="0.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_xlfn.IFS(HrData[[#This Row],[YearsAtCompany]]&lt;=2,"0-2 yrs",HrData[[#This Row],[YearsAtCompany]]&lt;=5,"3-5 yrs",TRUE,"5+ yrs")</f>
        <v>5+ yrs</v>
      </c>
    </row>
    <row r="554" spans="1:36" x14ac:dyDescent="0.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_xlfn.IFS(HrData[[#This Row],[YearsAtCompany]]&lt;=2,"0-2 yrs",HrData[[#This Row],[YearsAtCompany]]&lt;=5,"3-5 yrs",TRUE,"5+ yrs")</f>
        <v>5+ yrs</v>
      </c>
    </row>
    <row r="555" spans="1:36" x14ac:dyDescent="0.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_xlfn.IFS(HrData[[#This Row],[YearsAtCompany]]&lt;=2,"0-2 yrs",HrData[[#This Row],[YearsAtCompany]]&lt;=5,"3-5 yrs",TRUE,"5+ yrs")</f>
        <v>3-5 yrs</v>
      </c>
    </row>
    <row r="556" spans="1:36" x14ac:dyDescent="0.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_xlfn.IFS(HrData[[#This Row],[YearsAtCompany]]&lt;=2,"0-2 yrs",HrData[[#This Row],[YearsAtCompany]]&lt;=5,"3-5 yrs",TRUE,"5+ yrs")</f>
        <v>5+ yrs</v>
      </c>
    </row>
    <row r="557" spans="1:36" x14ac:dyDescent="0.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_xlfn.IFS(HrData[[#This Row],[YearsAtCompany]]&lt;=2,"0-2 yrs",HrData[[#This Row],[YearsAtCompany]]&lt;=5,"3-5 yrs",TRUE,"5+ yrs")</f>
        <v>0-2 yrs</v>
      </c>
    </row>
    <row r="558" spans="1:36" x14ac:dyDescent="0.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_xlfn.IFS(HrData[[#This Row],[YearsAtCompany]]&lt;=2,"0-2 yrs",HrData[[#This Row],[YearsAtCompany]]&lt;=5,"3-5 yrs",TRUE,"5+ yrs")</f>
        <v>0-2 yrs</v>
      </c>
    </row>
    <row r="559" spans="1:36" x14ac:dyDescent="0.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_xlfn.IFS(HrData[[#This Row],[YearsAtCompany]]&lt;=2,"0-2 yrs",HrData[[#This Row],[YearsAtCompany]]&lt;=5,"3-5 yrs",TRUE,"5+ yrs")</f>
        <v>0-2 yrs</v>
      </c>
    </row>
    <row r="560" spans="1:36" x14ac:dyDescent="0.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_xlfn.IFS(HrData[[#This Row],[YearsAtCompany]]&lt;=2,"0-2 yrs",HrData[[#This Row],[YearsAtCompany]]&lt;=5,"3-5 yrs",TRUE,"5+ yrs")</f>
        <v>5+ yrs</v>
      </c>
    </row>
    <row r="561" spans="1:36" x14ac:dyDescent="0.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_xlfn.IFS(HrData[[#This Row],[YearsAtCompany]]&lt;=2,"0-2 yrs",HrData[[#This Row],[YearsAtCompany]]&lt;=5,"3-5 yrs",TRUE,"5+ yrs")</f>
        <v>0-2 yrs</v>
      </c>
    </row>
    <row r="562" spans="1:36" x14ac:dyDescent="0.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_xlfn.IFS(HrData[[#This Row],[YearsAtCompany]]&lt;=2,"0-2 yrs",HrData[[#This Row],[YearsAtCompany]]&lt;=5,"3-5 yrs",TRUE,"5+ yrs")</f>
        <v>0-2 yrs</v>
      </c>
    </row>
    <row r="563" spans="1:36" x14ac:dyDescent="0.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_xlfn.IFS(HrData[[#This Row],[YearsAtCompany]]&lt;=2,"0-2 yrs",HrData[[#This Row],[YearsAtCompany]]&lt;=5,"3-5 yrs",TRUE,"5+ yrs")</f>
        <v>5+ yrs</v>
      </c>
    </row>
    <row r="564" spans="1:36" x14ac:dyDescent="0.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_xlfn.IFS(HrData[[#This Row],[YearsAtCompany]]&lt;=2,"0-2 yrs",HrData[[#This Row],[YearsAtCompany]]&lt;=5,"3-5 yrs",TRUE,"5+ yrs")</f>
        <v>5+ yrs</v>
      </c>
    </row>
    <row r="565" spans="1:36" x14ac:dyDescent="0.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_xlfn.IFS(HrData[[#This Row],[YearsAtCompany]]&lt;=2,"0-2 yrs",HrData[[#This Row],[YearsAtCompany]]&lt;=5,"3-5 yrs",TRUE,"5+ yrs")</f>
        <v>5+ yrs</v>
      </c>
    </row>
    <row r="566" spans="1:36" x14ac:dyDescent="0.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_xlfn.IFS(HrData[[#This Row],[YearsAtCompany]]&lt;=2,"0-2 yrs",HrData[[#This Row],[YearsAtCompany]]&lt;=5,"3-5 yrs",TRUE,"5+ yrs")</f>
        <v>5+ yrs</v>
      </c>
    </row>
    <row r="567" spans="1:36" x14ac:dyDescent="0.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_xlfn.IFS(HrData[[#This Row],[YearsAtCompany]]&lt;=2,"0-2 yrs",HrData[[#This Row],[YearsAtCompany]]&lt;=5,"3-5 yrs",TRUE,"5+ yrs")</f>
        <v>0-2 yrs</v>
      </c>
    </row>
    <row r="568" spans="1:36" x14ac:dyDescent="0.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_xlfn.IFS(HrData[[#This Row],[YearsAtCompany]]&lt;=2,"0-2 yrs",HrData[[#This Row],[YearsAtCompany]]&lt;=5,"3-5 yrs",TRUE,"5+ yrs")</f>
        <v>3-5 yrs</v>
      </c>
    </row>
    <row r="569" spans="1:36" x14ac:dyDescent="0.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_xlfn.IFS(HrData[[#This Row],[YearsAtCompany]]&lt;=2,"0-2 yrs",HrData[[#This Row],[YearsAtCompany]]&lt;=5,"3-5 yrs",TRUE,"5+ yrs")</f>
        <v>5+ yrs</v>
      </c>
    </row>
    <row r="570" spans="1:36" x14ac:dyDescent="0.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_xlfn.IFS(HrData[[#This Row],[YearsAtCompany]]&lt;=2,"0-2 yrs",HrData[[#This Row],[YearsAtCompany]]&lt;=5,"3-5 yrs",TRUE,"5+ yrs")</f>
        <v>3-5 yrs</v>
      </c>
    </row>
    <row r="571" spans="1:36" x14ac:dyDescent="0.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_xlfn.IFS(HrData[[#This Row],[YearsAtCompany]]&lt;=2,"0-2 yrs",HrData[[#This Row],[YearsAtCompany]]&lt;=5,"3-5 yrs",TRUE,"5+ yrs")</f>
        <v>5+ yrs</v>
      </c>
    </row>
    <row r="572" spans="1:36" x14ac:dyDescent="0.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_xlfn.IFS(HrData[[#This Row],[YearsAtCompany]]&lt;=2,"0-2 yrs",HrData[[#This Row],[YearsAtCompany]]&lt;=5,"3-5 yrs",TRUE,"5+ yrs")</f>
        <v>3-5 yrs</v>
      </c>
    </row>
    <row r="573" spans="1:36" x14ac:dyDescent="0.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cm="1">
        <f t="array" ref="AJ573">_xlfn.IFS(HrData[[#This Row],[YearsAtCompany]]&lt;=2,"0-2 yrs",HrData[[#This Row],[YearsAtCompany]]&lt;=5,"3-5 yrs",TRUE,"5+ yrs")</f>
        <v>0-2 yrs</v>
      </c>
    </row>
    <row r="574" spans="1:36" x14ac:dyDescent="0.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_xlfn.IFS(HrData[[#This Row],[YearsAtCompany]]&lt;=2,"0-2 yrs",HrData[[#This Row],[YearsAtCompany]]&lt;=5,"3-5 yrs",TRUE,"5+ yrs")</f>
        <v>5+ yrs</v>
      </c>
    </row>
    <row r="575" spans="1:36" x14ac:dyDescent="0.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cm="1">
        <f t="array" ref="AJ575">_xlfn.IFS(HrData[[#This Row],[YearsAtCompany]]&lt;=2,"0-2 yrs",HrData[[#This Row],[YearsAtCompany]]&lt;=5,"3-5 yrs",TRUE,"5+ yrs")</f>
        <v>3-5 yrs</v>
      </c>
    </row>
    <row r="576" spans="1:36" x14ac:dyDescent="0.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_xlfn.IFS(HrData[[#This Row],[YearsAtCompany]]&lt;=2,"0-2 yrs",HrData[[#This Row],[YearsAtCompany]]&lt;=5,"3-5 yrs",TRUE,"5+ yrs")</f>
        <v>3-5 yrs</v>
      </c>
    </row>
    <row r="577" spans="1:36" x14ac:dyDescent="0.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_xlfn.IFS(HrData[[#This Row],[YearsAtCompany]]&lt;=2,"0-2 yrs",HrData[[#This Row],[YearsAtCompany]]&lt;=5,"3-5 yrs",TRUE,"5+ yrs")</f>
        <v>3-5 yrs</v>
      </c>
    </row>
    <row r="578" spans="1:36" x14ac:dyDescent="0.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_xlfn.IFS(HrData[[#This Row],[YearsAtCompany]]&lt;=2,"0-2 yrs",HrData[[#This Row],[YearsAtCompany]]&lt;=5,"3-5 yrs",TRUE,"5+ yrs")</f>
        <v>3-5 yrs</v>
      </c>
    </row>
    <row r="579" spans="1:36" x14ac:dyDescent="0.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_xlfn.IFS(HrData[[#This Row],[YearsAtCompany]]&lt;=2,"0-2 yrs",HrData[[#This Row],[YearsAtCompany]]&lt;=5,"3-5 yrs",TRUE,"5+ yrs")</f>
        <v>3-5 yrs</v>
      </c>
    </row>
    <row r="580" spans="1:36" x14ac:dyDescent="0.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_xlfn.IFS(HrData[[#This Row],[YearsAtCompany]]&lt;=2,"0-2 yrs",HrData[[#This Row],[YearsAtCompany]]&lt;=5,"3-5 yrs",TRUE,"5+ yrs")</f>
        <v>5+ yrs</v>
      </c>
    </row>
    <row r="581" spans="1:36" x14ac:dyDescent="0.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cm="1">
        <f t="array" ref="AJ581">_xlfn.IFS(HrData[[#This Row],[YearsAtCompany]]&lt;=2,"0-2 yrs",HrData[[#This Row],[YearsAtCompany]]&lt;=5,"3-5 yrs",TRUE,"5+ yrs")</f>
        <v>5+ yrs</v>
      </c>
    </row>
    <row r="582" spans="1:36" x14ac:dyDescent="0.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_xlfn.IFS(HrData[[#This Row],[YearsAtCompany]]&lt;=2,"0-2 yrs",HrData[[#This Row],[YearsAtCompany]]&lt;=5,"3-5 yrs",TRUE,"5+ yrs")</f>
        <v>3-5 yrs</v>
      </c>
    </row>
    <row r="583" spans="1:36" x14ac:dyDescent="0.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_xlfn.IFS(HrData[[#This Row],[YearsAtCompany]]&lt;=2,"0-2 yrs",HrData[[#This Row],[YearsAtCompany]]&lt;=5,"3-5 yrs",TRUE,"5+ yrs")</f>
        <v>0-2 yrs</v>
      </c>
    </row>
    <row r="584" spans="1:36" x14ac:dyDescent="0.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cm="1">
        <f t="array" ref="AJ584">_xlfn.IFS(HrData[[#This Row],[YearsAtCompany]]&lt;=2,"0-2 yrs",HrData[[#This Row],[YearsAtCompany]]&lt;=5,"3-5 yrs",TRUE,"5+ yrs")</f>
        <v>5+ yrs</v>
      </c>
    </row>
    <row r="585" spans="1:36" x14ac:dyDescent="0.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_xlfn.IFS(HrData[[#This Row],[YearsAtCompany]]&lt;=2,"0-2 yrs",HrData[[#This Row],[YearsAtCompany]]&lt;=5,"3-5 yrs",TRUE,"5+ yrs")</f>
        <v>3-5 yrs</v>
      </c>
    </row>
    <row r="586" spans="1:36" x14ac:dyDescent="0.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_xlfn.IFS(HrData[[#This Row],[YearsAtCompany]]&lt;=2,"0-2 yrs",HrData[[#This Row],[YearsAtCompany]]&lt;=5,"3-5 yrs",TRUE,"5+ yrs")</f>
        <v>5+ yrs</v>
      </c>
    </row>
    <row r="587" spans="1:36" x14ac:dyDescent="0.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cm="1">
        <f t="array" ref="AJ587">_xlfn.IFS(HrData[[#This Row],[YearsAtCompany]]&lt;=2,"0-2 yrs",HrData[[#This Row],[YearsAtCompany]]&lt;=5,"3-5 yrs",TRUE,"5+ yrs")</f>
        <v>0-2 yrs</v>
      </c>
    </row>
    <row r="588" spans="1:36" x14ac:dyDescent="0.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_xlfn.IFS(HrData[[#This Row],[YearsAtCompany]]&lt;=2,"0-2 yrs",HrData[[#This Row],[YearsAtCompany]]&lt;=5,"3-5 yrs",TRUE,"5+ yrs")</f>
        <v>0-2 yrs</v>
      </c>
    </row>
    <row r="589" spans="1:36" x14ac:dyDescent="0.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_xlfn.IFS(HrData[[#This Row],[YearsAtCompany]]&lt;=2,"0-2 yrs",HrData[[#This Row],[YearsAtCompany]]&lt;=5,"3-5 yrs",TRUE,"5+ yrs")</f>
        <v>3-5 yrs</v>
      </c>
    </row>
    <row r="590" spans="1:36" x14ac:dyDescent="0.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_xlfn.IFS(HrData[[#This Row],[YearsAtCompany]]&lt;=2,"0-2 yrs",HrData[[#This Row],[YearsAtCompany]]&lt;=5,"3-5 yrs",TRUE,"5+ yrs")</f>
        <v>3-5 yrs</v>
      </c>
    </row>
    <row r="591" spans="1:36" x14ac:dyDescent="0.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cm="1">
        <f t="array" ref="AJ591">_xlfn.IFS(HrData[[#This Row],[YearsAtCompany]]&lt;=2,"0-2 yrs",HrData[[#This Row],[YearsAtCompany]]&lt;=5,"3-5 yrs",TRUE,"5+ yrs")</f>
        <v>0-2 yrs</v>
      </c>
    </row>
    <row r="592" spans="1:36" x14ac:dyDescent="0.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_xlfn.IFS(HrData[[#This Row],[YearsAtCompany]]&lt;=2,"0-2 yrs",HrData[[#This Row],[YearsAtCompany]]&lt;=5,"3-5 yrs",TRUE,"5+ yrs")</f>
        <v>5+ yrs</v>
      </c>
    </row>
    <row r="593" spans="1:36" x14ac:dyDescent="0.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_xlfn.IFS(HrData[[#This Row],[YearsAtCompany]]&lt;=2,"0-2 yrs",HrData[[#This Row],[YearsAtCompany]]&lt;=5,"3-5 yrs",TRUE,"5+ yrs")</f>
        <v>3-5 yrs</v>
      </c>
    </row>
    <row r="594" spans="1:36" x14ac:dyDescent="0.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_xlfn.IFS(HrData[[#This Row],[YearsAtCompany]]&lt;=2,"0-2 yrs",HrData[[#This Row],[YearsAtCompany]]&lt;=5,"3-5 yrs",TRUE,"5+ yrs")</f>
        <v>5+ yrs</v>
      </c>
    </row>
    <row r="595" spans="1:36" x14ac:dyDescent="0.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_xlfn.IFS(HrData[[#This Row],[YearsAtCompany]]&lt;=2,"0-2 yrs",HrData[[#This Row],[YearsAtCompany]]&lt;=5,"3-5 yrs",TRUE,"5+ yrs")</f>
        <v>5+ yrs</v>
      </c>
    </row>
    <row r="596" spans="1:36" x14ac:dyDescent="0.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_xlfn.IFS(HrData[[#This Row],[YearsAtCompany]]&lt;=2,"0-2 yrs",HrData[[#This Row],[YearsAtCompany]]&lt;=5,"3-5 yrs",TRUE,"5+ yrs")</f>
        <v>5+ yrs</v>
      </c>
    </row>
    <row r="597" spans="1:36" x14ac:dyDescent="0.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_xlfn.IFS(HrData[[#This Row],[YearsAtCompany]]&lt;=2,"0-2 yrs",HrData[[#This Row],[YearsAtCompany]]&lt;=5,"3-5 yrs",TRUE,"5+ yrs")</f>
        <v>5+ yrs</v>
      </c>
    </row>
    <row r="598" spans="1:36" x14ac:dyDescent="0.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_xlfn.IFS(HrData[[#This Row],[YearsAtCompany]]&lt;=2,"0-2 yrs",HrData[[#This Row],[YearsAtCompany]]&lt;=5,"3-5 yrs",TRUE,"5+ yrs")</f>
        <v>0-2 yrs</v>
      </c>
    </row>
    <row r="599" spans="1:36" x14ac:dyDescent="0.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cm="1">
        <f t="array" ref="AJ599">_xlfn.IFS(HrData[[#This Row],[YearsAtCompany]]&lt;=2,"0-2 yrs",HrData[[#This Row],[YearsAtCompany]]&lt;=5,"3-5 yrs",TRUE,"5+ yrs")</f>
        <v>3-5 yrs</v>
      </c>
    </row>
    <row r="600" spans="1:36" x14ac:dyDescent="0.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_xlfn.IFS(HrData[[#This Row],[YearsAtCompany]]&lt;=2,"0-2 yrs",HrData[[#This Row],[YearsAtCompany]]&lt;=5,"3-5 yrs",TRUE,"5+ yrs")</f>
        <v>0-2 yrs</v>
      </c>
    </row>
    <row r="601" spans="1:36" x14ac:dyDescent="0.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_xlfn.IFS(HrData[[#This Row],[YearsAtCompany]]&lt;=2,"0-2 yrs",HrData[[#This Row],[YearsAtCompany]]&lt;=5,"3-5 yrs",TRUE,"5+ yrs")</f>
        <v>3-5 yrs</v>
      </c>
    </row>
    <row r="602" spans="1:36" x14ac:dyDescent="0.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_xlfn.IFS(HrData[[#This Row],[YearsAtCompany]]&lt;=2,"0-2 yrs",HrData[[#This Row],[YearsAtCompany]]&lt;=5,"3-5 yrs",TRUE,"5+ yrs")</f>
        <v>5+ yrs</v>
      </c>
    </row>
    <row r="603" spans="1:36" x14ac:dyDescent="0.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_xlfn.IFS(HrData[[#This Row],[YearsAtCompany]]&lt;=2,"0-2 yrs",HrData[[#This Row],[YearsAtCompany]]&lt;=5,"3-5 yrs",TRUE,"5+ yrs")</f>
        <v>0-2 yrs</v>
      </c>
    </row>
    <row r="604" spans="1:36" x14ac:dyDescent="0.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_xlfn.IFS(HrData[[#This Row],[YearsAtCompany]]&lt;=2,"0-2 yrs",HrData[[#This Row],[YearsAtCompany]]&lt;=5,"3-5 yrs",TRUE,"5+ yrs")</f>
        <v>0-2 yrs</v>
      </c>
    </row>
    <row r="605" spans="1:36" x14ac:dyDescent="0.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cm="1">
        <f t="array" ref="AJ605">_xlfn.IFS(HrData[[#This Row],[YearsAtCompany]]&lt;=2,"0-2 yrs",HrData[[#This Row],[YearsAtCompany]]&lt;=5,"3-5 yrs",TRUE,"5+ yrs")</f>
        <v>0-2 yrs</v>
      </c>
    </row>
    <row r="606" spans="1:36" x14ac:dyDescent="0.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_xlfn.IFS(HrData[[#This Row],[YearsAtCompany]]&lt;=2,"0-2 yrs",HrData[[#This Row],[YearsAtCompany]]&lt;=5,"3-5 yrs",TRUE,"5+ yrs")</f>
        <v>5+ yrs</v>
      </c>
    </row>
    <row r="607" spans="1:36" x14ac:dyDescent="0.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_xlfn.IFS(HrData[[#This Row],[YearsAtCompany]]&lt;=2,"0-2 yrs",HrData[[#This Row],[YearsAtCompany]]&lt;=5,"3-5 yrs",TRUE,"5+ yrs")</f>
        <v>3-5 yrs</v>
      </c>
    </row>
    <row r="608" spans="1:36" x14ac:dyDescent="0.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cm="1">
        <f t="array" ref="AJ608">_xlfn.IFS(HrData[[#This Row],[YearsAtCompany]]&lt;=2,"0-2 yrs",HrData[[#This Row],[YearsAtCompany]]&lt;=5,"3-5 yrs",TRUE,"5+ yrs")</f>
        <v>3-5 yrs</v>
      </c>
    </row>
    <row r="609" spans="1:36" x14ac:dyDescent="0.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cm="1">
        <f t="array" ref="AJ609">_xlfn.IFS(HrData[[#This Row],[YearsAtCompany]]&lt;=2,"0-2 yrs",HrData[[#This Row],[YearsAtCompany]]&lt;=5,"3-5 yrs",TRUE,"5+ yrs")</f>
        <v>5+ yrs</v>
      </c>
    </row>
    <row r="610" spans="1:36" x14ac:dyDescent="0.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_xlfn.IFS(HrData[[#This Row],[YearsAtCompany]]&lt;=2,"0-2 yrs",HrData[[#This Row],[YearsAtCompany]]&lt;=5,"3-5 yrs",TRUE,"5+ yrs")</f>
        <v>5+ yrs</v>
      </c>
    </row>
    <row r="611" spans="1:36" x14ac:dyDescent="0.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_xlfn.IFS(HrData[[#This Row],[YearsAtCompany]]&lt;=2,"0-2 yrs",HrData[[#This Row],[YearsAtCompany]]&lt;=5,"3-5 yrs",TRUE,"5+ yrs")</f>
        <v>3-5 yrs</v>
      </c>
    </row>
    <row r="612" spans="1:36" x14ac:dyDescent="0.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_xlfn.IFS(HrData[[#This Row],[YearsAtCompany]]&lt;=2,"0-2 yrs",HrData[[#This Row],[YearsAtCompany]]&lt;=5,"3-5 yrs",TRUE,"5+ yrs")</f>
        <v>5+ yrs</v>
      </c>
    </row>
    <row r="613" spans="1:36" x14ac:dyDescent="0.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_xlfn.IFS(HrData[[#This Row],[YearsAtCompany]]&lt;=2,"0-2 yrs",HrData[[#This Row],[YearsAtCompany]]&lt;=5,"3-5 yrs",TRUE,"5+ yrs")</f>
        <v>5+ yrs</v>
      </c>
    </row>
    <row r="614" spans="1:36" x14ac:dyDescent="0.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cm="1">
        <f t="array" ref="AJ614">_xlfn.IFS(HrData[[#This Row],[YearsAtCompany]]&lt;=2,"0-2 yrs",HrData[[#This Row],[YearsAtCompany]]&lt;=5,"3-5 yrs",TRUE,"5+ yrs")</f>
        <v>5+ yrs</v>
      </c>
    </row>
    <row r="615" spans="1:36" x14ac:dyDescent="0.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cm="1">
        <f t="array" ref="AJ615">_xlfn.IFS(HrData[[#This Row],[YearsAtCompany]]&lt;=2,"0-2 yrs",HrData[[#This Row],[YearsAtCompany]]&lt;=5,"3-5 yrs",TRUE,"5+ yrs")</f>
        <v>3-5 yrs</v>
      </c>
    </row>
    <row r="616" spans="1:36" x14ac:dyDescent="0.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_xlfn.IFS(HrData[[#This Row],[YearsAtCompany]]&lt;=2,"0-2 yrs",HrData[[#This Row],[YearsAtCompany]]&lt;=5,"3-5 yrs",TRUE,"5+ yrs")</f>
        <v>5+ yrs</v>
      </c>
    </row>
    <row r="617" spans="1:36" x14ac:dyDescent="0.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_xlfn.IFS(HrData[[#This Row],[YearsAtCompany]]&lt;=2,"0-2 yrs",HrData[[#This Row],[YearsAtCompany]]&lt;=5,"3-5 yrs",TRUE,"5+ yrs")</f>
        <v>0-2 yrs</v>
      </c>
    </row>
    <row r="618" spans="1:36" x14ac:dyDescent="0.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_xlfn.IFS(HrData[[#This Row],[YearsAtCompany]]&lt;=2,"0-2 yrs",HrData[[#This Row],[YearsAtCompany]]&lt;=5,"3-5 yrs",TRUE,"5+ yrs")</f>
        <v>5+ yrs</v>
      </c>
    </row>
    <row r="619" spans="1:36" x14ac:dyDescent="0.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_xlfn.IFS(HrData[[#This Row],[YearsAtCompany]]&lt;=2,"0-2 yrs",HrData[[#This Row],[YearsAtCompany]]&lt;=5,"3-5 yrs",TRUE,"5+ yrs")</f>
        <v>3-5 yrs</v>
      </c>
    </row>
    <row r="620" spans="1:36" x14ac:dyDescent="0.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_xlfn.IFS(HrData[[#This Row],[YearsAtCompany]]&lt;=2,"0-2 yrs",HrData[[#This Row],[YearsAtCompany]]&lt;=5,"3-5 yrs",TRUE,"5+ yrs")</f>
        <v>3-5 yrs</v>
      </c>
    </row>
    <row r="621" spans="1:36" x14ac:dyDescent="0.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_xlfn.IFS(HrData[[#This Row],[YearsAtCompany]]&lt;=2,"0-2 yrs",HrData[[#This Row],[YearsAtCompany]]&lt;=5,"3-5 yrs",TRUE,"5+ yrs")</f>
        <v>5+ yrs</v>
      </c>
    </row>
    <row r="622" spans="1:36" x14ac:dyDescent="0.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_xlfn.IFS(HrData[[#This Row],[YearsAtCompany]]&lt;=2,"0-2 yrs",HrData[[#This Row],[YearsAtCompany]]&lt;=5,"3-5 yrs",TRUE,"5+ yrs")</f>
        <v>5+ yrs</v>
      </c>
    </row>
    <row r="623" spans="1:36" x14ac:dyDescent="0.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_xlfn.IFS(HrData[[#This Row],[YearsAtCompany]]&lt;=2,"0-2 yrs",HrData[[#This Row],[YearsAtCompany]]&lt;=5,"3-5 yrs",TRUE,"5+ yrs")</f>
        <v>5+ yrs</v>
      </c>
    </row>
    <row r="624" spans="1:36" x14ac:dyDescent="0.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cm="1">
        <f t="array" ref="AJ624">_xlfn.IFS(HrData[[#This Row],[YearsAtCompany]]&lt;=2,"0-2 yrs",HrData[[#This Row],[YearsAtCompany]]&lt;=5,"3-5 yrs",TRUE,"5+ yrs")</f>
        <v>3-5 yrs</v>
      </c>
    </row>
    <row r="625" spans="1:36" x14ac:dyDescent="0.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_xlfn.IFS(HrData[[#This Row],[YearsAtCompany]]&lt;=2,"0-2 yrs",HrData[[#This Row],[YearsAtCompany]]&lt;=5,"3-5 yrs",TRUE,"5+ yrs")</f>
        <v>3-5 yrs</v>
      </c>
    </row>
    <row r="626" spans="1:36" x14ac:dyDescent="0.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_xlfn.IFS(HrData[[#This Row],[YearsAtCompany]]&lt;=2,"0-2 yrs",HrData[[#This Row],[YearsAtCompany]]&lt;=5,"3-5 yrs",TRUE,"5+ yrs")</f>
        <v>3-5 yrs</v>
      </c>
    </row>
    <row r="627" spans="1:36" x14ac:dyDescent="0.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_xlfn.IFS(HrData[[#This Row],[YearsAtCompany]]&lt;=2,"0-2 yrs",HrData[[#This Row],[YearsAtCompany]]&lt;=5,"3-5 yrs",TRUE,"5+ yrs")</f>
        <v>3-5 yrs</v>
      </c>
    </row>
    <row r="628" spans="1:36" x14ac:dyDescent="0.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_xlfn.IFS(HrData[[#This Row],[YearsAtCompany]]&lt;=2,"0-2 yrs",HrData[[#This Row],[YearsAtCompany]]&lt;=5,"3-5 yrs",TRUE,"5+ yrs")</f>
        <v>3-5 yrs</v>
      </c>
    </row>
    <row r="629" spans="1:36" x14ac:dyDescent="0.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_xlfn.IFS(HrData[[#This Row],[YearsAtCompany]]&lt;=2,"0-2 yrs",HrData[[#This Row],[YearsAtCompany]]&lt;=5,"3-5 yrs",TRUE,"5+ yrs")</f>
        <v>5+ yrs</v>
      </c>
    </row>
    <row r="630" spans="1:36" x14ac:dyDescent="0.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_xlfn.IFS(HrData[[#This Row],[YearsAtCompany]]&lt;=2,"0-2 yrs",HrData[[#This Row],[YearsAtCompany]]&lt;=5,"3-5 yrs",TRUE,"5+ yrs")</f>
        <v>0-2 yrs</v>
      </c>
    </row>
    <row r="631" spans="1:36" x14ac:dyDescent="0.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_xlfn.IFS(HrData[[#This Row],[YearsAtCompany]]&lt;=2,"0-2 yrs",HrData[[#This Row],[YearsAtCompany]]&lt;=5,"3-5 yrs",TRUE,"5+ yrs")</f>
        <v>3-5 yrs</v>
      </c>
    </row>
    <row r="632" spans="1:36" x14ac:dyDescent="0.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_xlfn.IFS(HrData[[#This Row],[YearsAtCompany]]&lt;=2,"0-2 yrs",HrData[[#This Row],[YearsAtCompany]]&lt;=5,"3-5 yrs",TRUE,"5+ yrs")</f>
        <v>0-2 yrs</v>
      </c>
    </row>
    <row r="633" spans="1:36" x14ac:dyDescent="0.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_xlfn.IFS(HrData[[#This Row],[YearsAtCompany]]&lt;=2,"0-2 yrs",HrData[[#This Row],[YearsAtCompany]]&lt;=5,"3-5 yrs",TRUE,"5+ yrs")</f>
        <v>3-5 yrs</v>
      </c>
    </row>
    <row r="634" spans="1:36" x14ac:dyDescent="0.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cm="1">
        <f t="array" ref="AJ634">_xlfn.IFS(HrData[[#This Row],[YearsAtCompany]]&lt;=2,"0-2 yrs",HrData[[#This Row],[YearsAtCompany]]&lt;=5,"3-5 yrs",TRUE,"5+ yrs")</f>
        <v>0-2 yrs</v>
      </c>
    </row>
    <row r="635" spans="1:36" x14ac:dyDescent="0.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cm="1">
        <f t="array" ref="AJ635">_xlfn.IFS(HrData[[#This Row],[YearsAtCompany]]&lt;=2,"0-2 yrs",HrData[[#This Row],[YearsAtCompany]]&lt;=5,"3-5 yrs",TRUE,"5+ yrs")</f>
        <v>3-5 yrs</v>
      </c>
    </row>
    <row r="636" spans="1:36" x14ac:dyDescent="0.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_xlfn.IFS(HrData[[#This Row],[YearsAtCompany]]&lt;=2,"0-2 yrs",HrData[[#This Row],[YearsAtCompany]]&lt;=5,"3-5 yrs",TRUE,"5+ yrs")</f>
        <v>3-5 yrs</v>
      </c>
    </row>
    <row r="637" spans="1:36" x14ac:dyDescent="0.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_xlfn.IFS(HrData[[#This Row],[YearsAtCompany]]&lt;=2,"0-2 yrs",HrData[[#This Row],[YearsAtCompany]]&lt;=5,"3-5 yrs",TRUE,"5+ yrs")</f>
        <v>5+ yrs</v>
      </c>
    </row>
    <row r="638" spans="1:36" x14ac:dyDescent="0.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_xlfn.IFS(HrData[[#This Row],[YearsAtCompany]]&lt;=2,"0-2 yrs",HrData[[#This Row],[YearsAtCompany]]&lt;=5,"3-5 yrs",TRUE,"5+ yrs")</f>
        <v>5+ yrs</v>
      </c>
    </row>
    <row r="639" spans="1:36" x14ac:dyDescent="0.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cm="1">
        <f t="array" ref="AJ639">_xlfn.IFS(HrData[[#This Row],[YearsAtCompany]]&lt;=2,"0-2 yrs",HrData[[#This Row],[YearsAtCompany]]&lt;=5,"3-5 yrs",TRUE,"5+ yrs")</f>
        <v>3-5 yrs</v>
      </c>
    </row>
    <row r="640" spans="1:36" x14ac:dyDescent="0.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_xlfn.IFS(HrData[[#This Row],[YearsAtCompany]]&lt;=2,"0-2 yrs",HrData[[#This Row],[YearsAtCompany]]&lt;=5,"3-5 yrs",TRUE,"5+ yrs")</f>
        <v>3-5 yrs</v>
      </c>
    </row>
    <row r="641" spans="1:36" x14ac:dyDescent="0.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_xlfn.IFS(HrData[[#This Row],[YearsAtCompany]]&lt;=2,"0-2 yrs",HrData[[#This Row],[YearsAtCompany]]&lt;=5,"3-5 yrs",TRUE,"5+ yrs")</f>
        <v>3-5 yrs</v>
      </c>
    </row>
    <row r="642" spans="1:36" x14ac:dyDescent="0.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_xlfn.IFS(HrData[[#This Row],[YearsAtCompany]]&lt;=2,"0-2 yrs",HrData[[#This Row],[YearsAtCompany]]&lt;=5,"3-5 yrs",TRUE,"5+ yrs")</f>
        <v>3-5 yrs</v>
      </c>
    </row>
    <row r="643" spans="1:36" x14ac:dyDescent="0.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_xlfn.IFS(HrData[[#This Row],[YearsAtCompany]]&lt;=2,"0-2 yrs",HrData[[#This Row],[YearsAtCompany]]&lt;=5,"3-5 yrs",TRUE,"5+ yrs")</f>
        <v>5+ yrs</v>
      </c>
    </row>
    <row r="644" spans="1:36" x14ac:dyDescent="0.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_xlfn.IFS(HrData[[#This Row],[YearsAtCompany]]&lt;=2,"0-2 yrs",HrData[[#This Row],[YearsAtCompany]]&lt;=5,"3-5 yrs",TRUE,"5+ yrs")</f>
        <v>0-2 yrs</v>
      </c>
    </row>
    <row r="645" spans="1:36" x14ac:dyDescent="0.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_xlfn.IFS(HrData[[#This Row],[YearsAtCompany]]&lt;=2,"0-2 yrs",HrData[[#This Row],[YearsAtCompany]]&lt;=5,"3-5 yrs",TRUE,"5+ yrs")</f>
        <v>3-5 yrs</v>
      </c>
    </row>
    <row r="646" spans="1:36" x14ac:dyDescent="0.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_xlfn.IFS(HrData[[#This Row],[YearsAtCompany]]&lt;=2,"0-2 yrs",HrData[[#This Row],[YearsAtCompany]]&lt;=5,"3-5 yrs",TRUE,"5+ yrs")</f>
        <v>5+ yrs</v>
      </c>
    </row>
    <row r="647" spans="1:36" x14ac:dyDescent="0.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_xlfn.IFS(HrData[[#This Row],[YearsAtCompany]]&lt;=2,"0-2 yrs",HrData[[#This Row],[YearsAtCompany]]&lt;=5,"3-5 yrs",TRUE,"5+ yrs")</f>
        <v>3-5 yrs</v>
      </c>
    </row>
    <row r="648" spans="1:36" x14ac:dyDescent="0.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_xlfn.IFS(HrData[[#This Row],[YearsAtCompany]]&lt;=2,"0-2 yrs",HrData[[#This Row],[YearsAtCompany]]&lt;=5,"3-5 yrs",TRUE,"5+ yrs")</f>
        <v>0-2 yrs</v>
      </c>
    </row>
    <row r="649" spans="1:36" x14ac:dyDescent="0.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_xlfn.IFS(HrData[[#This Row],[YearsAtCompany]]&lt;=2,"0-2 yrs",HrData[[#This Row],[YearsAtCompany]]&lt;=5,"3-5 yrs",TRUE,"5+ yrs")</f>
        <v>5+ yrs</v>
      </c>
    </row>
    <row r="650" spans="1:36" x14ac:dyDescent="0.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_xlfn.IFS(HrData[[#This Row],[YearsAtCompany]]&lt;=2,"0-2 yrs",HrData[[#This Row],[YearsAtCompany]]&lt;=5,"3-5 yrs",TRUE,"5+ yrs")</f>
        <v>3-5 yrs</v>
      </c>
    </row>
    <row r="651" spans="1:36" x14ac:dyDescent="0.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_xlfn.IFS(HrData[[#This Row],[YearsAtCompany]]&lt;=2,"0-2 yrs",HrData[[#This Row],[YearsAtCompany]]&lt;=5,"3-5 yrs",TRUE,"5+ yrs")</f>
        <v>5+ yrs</v>
      </c>
    </row>
    <row r="652" spans="1:36" x14ac:dyDescent="0.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_xlfn.IFS(HrData[[#This Row],[YearsAtCompany]]&lt;=2,"0-2 yrs",HrData[[#This Row],[YearsAtCompany]]&lt;=5,"3-5 yrs",TRUE,"5+ yrs")</f>
        <v>3-5 yrs</v>
      </c>
    </row>
    <row r="653" spans="1:36" x14ac:dyDescent="0.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_xlfn.IFS(HrData[[#This Row],[YearsAtCompany]]&lt;=2,"0-2 yrs",HrData[[#This Row],[YearsAtCompany]]&lt;=5,"3-5 yrs",TRUE,"5+ yrs")</f>
        <v>5+ yrs</v>
      </c>
    </row>
    <row r="654" spans="1:36" x14ac:dyDescent="0.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_xlfn.IFS(HrData[[#This Row],[YearsAtCompany]]&lt;=2,"0-2 yrs",HrData[[#This Row],[YearsAtCompany]]&lt;=5,"3-5 yrs",TRUE,"5+ yrs")</f>
        <v>5+ yrs</v>
      </c>
    </row>
    <row r="655" spans="1:36" x14ac:dyDescent="0.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_xlfn.IFS(HrData[[#This Row],[YearsAtCompany]]&lt;=2,"0-2 yrs",HrData[[#This Row],[YearsAtCompany]]&lt;=5,"3-5 yrs",TRUE,"5+ yrs")</f>
        <v>5+ yrs</v>
      </c>
    </row>
    <row r="656" spans="1:36" x14ac:dyDescent="0.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_xlfn.IFS(HrData[[#This Row],[YearsAtCompany]]&lt;=2,"0-2 yrs",HrData[[#This Row],[YearsAtCompany]]&lt;=5,"3-5 yrs",TRUE,"5+ yrs")</f>
        <v>3-5 yrs</v>
      </c>
    </row>
    <row r="657" spans="1:36" x14ac:dyDescent="0.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_xlfn.IFS(HrData[[#This Row],[YearsAtCompany]]&lt;=2,"0-2 yrs",HrData[[#This Row],[YearsAtCompany]]&lt;=5,"3-5 yrs",TRUE,"5+ yrs")</f>
        <v>3-5 yrs</v>
      </c>
    </row>
    <row r="658" spans="1:36" x14ac:dyDescent="0.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_xlfn.IFS(HrData[[#This Row],[YearsAtCompany]]&lt;=2,"0-2 yrs",HrData[[#This Row],[YearsAtCompany]]&lt;=5,"3-5 yrs",TRUE,"5+ yrs")</f>
        <v>0-2 yrs</v>
      </c>
    </row>
    <row r="659" spans="1:36" x14ac:dyDescent="0.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cm="1">
        <f t="array" ref="AJ659">_xlfn.IFS(HrData[[#This Row],[YearsAtCompany]]&lt;=2,"0-2 yrs",HrData[[#This Row],[YearsAtCompany]]&lt;=5,"3-5 yrs",TRUE,"5+ yrs")</f>
        <v>3-5 yrs</v>
      </c>
    </row>
    <row r="660" spans="1:36" x14ac:dyDescent="0.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cm="1">
        <f t="array" ref="AJ660">_xlfn.IFS(HrData[[#This Row],[YearsAtCompany]]&lt;=2,"0-2 yrs",HrData[[#This Row],[YearsAtCompany]]&lt;=5,"3-5 yrs",TRUE,"5+ yrs")</f>
        <v>5+ yrs</v>
      </c>
    </row>
    <row r="661" spans="1:36" x14ac:dyDescent="0.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_xlfn.IFS(HrData[[#This Row],[YearsAtCompany]]&lt;=2,"0-2 yrs",HrData[[#This Row],[YearsAtCompany]]&lt;=5,"3-5 yrs",TRUE,"5+ yrs")</f>
        <v>3-5 yrs</v>
      </c>
    </row>
    <row r="662" spans="1:36" x14ac:dyDescent="0.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_xlfn.IFS(HrData[[#This Row],[YearsAtCompany]]&lt;=2,"0-2 yrs",HrData[[#This Row],[YearsAtCompany]]&lt;=5,"3-5 yrs",TRUE,"5+ yrs")</f>
        <v>0-2 yrs</v>
      </c>
    </row>
    <row r="663" spans="1:36" x14ac:dyDescent="0.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_xlfn.IFS(HrData[[#This Row],[YearsAtCompany]]&lt;=2,"0-2 yrs",HrData[[#This Row],[YearsAtCompany]]&lt;=5,"3-5 yrs",TRUE,"5+ yrs")</f>
        <v>0-2 yrs</v>
      </c>
    </row>
    <row r="664" spans="1:36" x14ac:dyDescent="0.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_xlfn.IFS(HrData[[#This Row],[YearsAtCompany]]&lt;=2,"0-2 yrs",HrData[[#This Row],[YearsAtCompany]]&lt;=5,"3-5 yrs",TRUE,"5+ yrs")</f>
        <v>0-2 yrs</v>
      </c>
    </row>
    <row r="665" spans="1:36" x14ac:dyDescent="0.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cm="1">
        <f t="array" ref="AJ665">_xlfn.IFS(HrData[[#This Row],[YearsAtCompany]]&lt;=2,"0-2 yrs",HrData[[#This Row],[YearsAtCompany]]&lt;=5,"3-5 yrs",TRUE,"5+ yrs")</f>
        <v>0-2 yrs</v>
      </c>
    </row>
    <row r="666" spans="1:36" x14ac:dyDescent="0.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_xlfn.IFS(HrData[[#This Row],[YearsAtCompany]]&lt;=2,"0-2 yrs",HrData[[#This Row],[YearsAtCompany]]&lt;=5,"3-5 yrs",TRUE,"5+ yrs")</f>
        <v>5+ yrs</v>
      </c>
    </row>
    <row r="667" spans="1:36" x14ac:dyDescent="0.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_xlfn.IFS(HrData[[#This Row],[YearsAtCompany]]&lt;=2,"0-2 yrs",HrData[[#This Row],[YearsAtCompany]]&lt;=5,"3-5 yrs",TRUE,"5+ yrs")</f>
        <v>3-5 yrs</v>
      </c>
    </row>
    <row r="668" spans="1:36" x14ac:dyDescent="0.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_xlfn.IFS(HrData[[#This Row],[YearsAtCompany]]&lt;=2,"0-2 yrs",HrData[[#This Row],[YearsAtCompany]]&lt;=5,"3-5 yrs",TRUE,"5+ yrs")</f>
        <v>3-5 yrs</v>
      </c>
    </row>
    <row r="669" spans="1:36" x14ac:dyDescent="0.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_xlfn.IFS(HrData[[#This Row],[YearsAtCompany]]&lt;=2,"0-2 yrs",HrData[[#This Row],[YearsAtCompany]]&lt;=5,"3-5 yrs",TRUE,"5+ yrs")</f>
        <v>5+ yrs</v>
      </c>
    </row>
    <row r="670" spans="1:36" x14ac:dyDescent="0.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cm="1">
        <f t="array" ref="AJ670">_xlfn.IFS(HrData[[#This Row],[YearsAtCompany]]&lt;=2,"0-2 yrs",HrData[[#This Row],[YearsAtCompany]]&lt;=5,"3-5 yrs",TRUE,"5+ yrs")</f>
        <v>0-2 yrs</v>
      </c>
    </row>
    <row r="671" spans="1:36" x14ac:dyDescent="0.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cm="1">
        <f t="array" ref="AJ671">_xlfn.IFS(HrData[[#This Row],[YearsAtCompany]]&lt;=2,"0-2 yrs",HrData[[#This Row],[YearsAtCompany]]&lt;=5,"3-5 yrs",TRUE,"5+ yrs")</f>
        <v>0-2 yrs</v>
      </c>
    </row>
    <row r="672" spans="1:36" x14ac:dyDescent="0.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_xlfn.IFS(HrData[[#This Row],[YearsAtCompany]]&lt;=2,"0-2 yrs",HrData[[#This Row],[YearsAtCompany]]&lt;=5,"3-5 yrs",TRUE,"5+ yrs")</f>
        <v>0-2 yrs</v>
      </c>
    </row>
    <row r="673" spans="1:36" x14ac:dyDescent="0.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cm="1">
        <f t="array" ref="AJ673">_xlfn.IFS(HrData[[#This Row],[YearsAtCompany]]&lt;=2,"0-2 yrs",HrData[[#This Row],[YearsAtCompany]]&lt;=5,"3-5 yrs",TRUE,"5+ yrs")</f>
        <v>0-2 yrs</v>
      </c>
    </row>
    <row r="674" spans="1:36" x14ac:dyDescent="0.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_xlfn.IFS(HrData[[#This Row],[YearsAtCompany]]&lt;=2,"0-2 yrs",HrData[[#This Row],[YearsAtCompany]]&lt;=5,"3-5 yrs",TRUE,"5+ yrs")</f>
        <v>3-5 yrs</v>
      </c>
    </row>
    <row r="675" spans="1:36" x14ac:dyDescent="0.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cm="1">
        <f t="array" ref="AJ675">_xlfn.IFS(HrData[[#This Row],[YearsAtCompany]]&lt;=2,"0-2 yrs",HrData[[#This Row],[YearsAtCompany]]&lt;=5,"3-5 yrs",TRUE,"5+ yrs")</f>
        <v>3-5 yrs</v>
      </c>
    </row>
    <row r="676" spans="1:36" x14ac:dyDescent="0.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_xlfn.IFS(HrData[[#This Row],[YearsAtCompany]]&lt;=2,"0-2 yrs",HrData[[#This Row],[YearsAtCompany]]&lt;=5,"3-5 yrs",TRUE,"5+ yrs")</f>
        <v>5+ yrs</v>
      </c>
    </row>
    <row r="677" spans="1:36" x14ac:dyDescent="0.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_xlfn.IFS(HrData[[#This Row],[YearsAtCompany]]&lt;=2,"0-2 yrs",HrData[[#This Row],[YearsAtCompany]]&lt;=5,"3-5 yrs",TRUE,"5+ yrs")</f>
        <v>5+ yrs</v>
      </c>
    </row>
    <row r="678" spans="1:36" x14ac:dyDescent="0.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_xlfn.IFS(HrData[[#This Row],[YearsAtCompany]]&lt;=2,"0-2 yrs",HrData[[#This Row],[YearsAtCompany]]&lt;=5,"3-5 yrs",TRUE,"5+ yrs")</f>
        <v>5+ yrs</v>
      </c>
    </row>
    <row r="679" spans="1:36" x14ac:dyDescent="0.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_xlfn.IFS(HrData[[#This Row],[YearsAtCompany]]&lt;=2,"0-2 yrs",HrData[[#This Row],[YearsAtCompany]]&lt;=5,"3-5 yrs",TRUE,"5+ yrs")</f>
        <v>5+ yrs</v>
      </c>
    </row>
    <row r="680" spans="1:36" x14ac:dyDescent="0.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_xlfn.IFS(HrData[[#This Row],[YearsAtCompany]]&lt;=2,"0-2 yrs",HrData[[#This Row],[YearsAtCompany]]&lt;=5,"3-5 yrs",TRUE,"5+ yrs")</f>
        <v>0-2 yrs</v>
      </c>
    </row>
    <row r="681" spans="1:36" x14ac:dyDescent="0.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_xlfn.IFS(HrData[[#This Row],[YearsAtCompany]]&lt;=2,"0-2 yrs",HrData[[#This Row],[YearsAtCompany]]&lt;=5,"3-5 yrs",TRUE,"5+ yrs")</f>
        <v>5+ yrs</v>
      </c>
    </row>
    <row r="682" spans="1:36" x14ac:dyDescent="0.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_xlfn.IFS(HrData[[#This Row],[YearsAtCompany]]&lt;=2,"0-2 yrs",HrData[[#This Row],[YearsAtCompany]]&lt;=5,"3-5 yrs",TRUE,"5+ yrs")</f>
        <v>5+ yrs</v>
      </c>
    </row>
    <row r="683" spans="1:36" x14ac:dyDescent="0.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_xlfn.IFS(HrData[[#This Row],[YearsAtCompany]]&lt;=2,"0-2 yrs",HrData[[#This Row],[YearsAtCompany]]&lt;=5,"3-5 yrs",TRUE,"5+ yrs")</f>
        <v>5+ yrs</v>
      </c>
    </row>
    <row r="684" spans="1:36" x14ac:dyDescent="0.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cm="1">
        <f t="array" ref="AJ684">_xlfn.IFS(HrData[[#This Row],[YearsAtCompany]]&lt;=2,"0-2 yrs",HrData[[#This Row],[YearsAtCompany]]&lt;=5,"3-5 yrs",TRUE,"5+ yrs")</f>
        <v>3-5 yrs</v>
      </c>
    </row>
    <row r="685" spans="1:36" x14ac:dyDescent="0.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_xlfn.IFS(HrData[[#This Row],[YearsAtCompany]]&lt;=2,"0-2 yrs",HrData[[#This Row],[YearsAtCompany]]&lt;=5,"3-5 yrs",TRUE,"5+ yrs")</f>
        <v>0-2 yrs</v>
      </c>
    </row>
    <row r="686" spans="1:36" x14ac:dyDescent="0.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_xlfn.IFS(HrData[[#This Row],[YearsAtCompany]]&lt;=2,"0-2 yrs",HrData[[#This Row],[YearsAtCompany]]&lt;=5,"3-5 yrs",TRUE,"5+ yrs")</f>
        <v>0-2 yrs</v>
      </c>
    </row>
    <row r="687" spans="1:36" x14ac:dyDescent="0.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_xlfn.IFS(HrData[[#This Row],[YearsAtCompany]]&lt;=2,"0-2 yrs",HrData[[#This Row],[YearsAtCompany]]&lt;=5,"3-5 yrs",TRUE,"5+ yrs")</f>
        <v>5+ yrs</v>
      </c>
    </row>
    <row r="688" spans="1:36" x14ac:dyDescent="0.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_xlfn.IFS(HrData[[#This Row],[YearsAtCompany]]&lt;=2,"0-2 yrs",HrData[[#This Row],[YearsAtCompany]]&lt;=5,"3-5 yrs",TRUE,"5+ yrs")</f>
        <v>5+ yrs</v>
      </c>
    </row>
    <row r="689" spans="1:36" x14ac:dyDescent="0.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_xlfn.IFS(HrData[[#This Row],[YearsAtCompany]]&lt;=2,"0-2 yrs",HrData[[#This Row],[YearsAtCompany]]&lt;=5,"3-5 yrs",TRUE,"5+ yrs")</f>
        <v>5+ yrs</v>
      </c>
    </row>
    <row r="690" spans="1:36" x14ac:dyDescent="0.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cm="1">
        <f t="array" ref="AJ690">_xlfn.IFS(HrData[[#This Row],[YearsAtCompany]]&lt;=2,"0-2 yrs",HrData[[#This Row],[YearsAtCompany]]&lt;=5,"3-5 yrs",TRUE,"5+ yrs")</f>
        <v>0-2 yrs</v>
      </c>
    </row>
    <row r="691" spans="1:36" x14ac:dyDescent="0.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_xlfn.IFS(HrData[[#This Row],[YearsAtCompany]]&lt;=2,"0-2 yrs",HrData[[#This Row],[YearsAtCompany]]&lt;=5,"3-5 yrs",TRUE,"5+ yrs")</f>
        <v>0-2 yrs</v>
      </c>
    </row>
    <row r="692" spans="1:36" x14ac:dyDescent="0.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_xlfn.IFS(HrData[[#This Row],[YearsAtCompany]]&lt;=2,"0-2 yrs",HrData[[#This Row],[YearsAtCompany]]&lt;=5,"3-5 yrs",TRUE,"5+ yrs")</f>
        <v>5+ yrs</v>
      </c>
    </row>
    <row r="693" spans="1:36" x14ac:dyDescent="0.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_xlfn.IFS(HrData[[#This Row],[YearsAtCompany]]&lt;=2,"0-2 yrs",HrData[[#This Row],[YearsAtCompany]]&lt;=5,"3-5 yrs",TRUE,"5+ yrs")</f>
        <v>0-2 yrs</v>
      </c>
    </row>
    <row r="694" spans="1:36" x14ac:dyDescent="0.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_xlfn.IFS(HrData[[#This Row],[YearsAtCompany]]&lt;=2,"0-2 yrs",HrData[[#This Row],[YearsAtCompany]]&lt;=5,"3-5 yrs",TRUE,"5+ yrs")</f>
        <v>5+ yrs</v>
      </c>
    </row>
    <row r="695" spans="1:36" x14ac:dyDescent="0.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_xlfn.IFS(HrData[[#This Row],[YearsAtCompany]]&lt;=2,"0-2 yrs",HrData[[#This Row],[YearsAtCompany]]&lt;=5,"3-5 yrs",TRUE,"5+ yrs")</f>
        <v>5+ yrs</v>
      </c>
    </row>
    <row r="696" spans="1:36" x14ac:dyDescent="0.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_xlfn.IFS(HrData[[#This Row],[YearsAtCompany]]&lt;=2,"0-2 yrs",HrData[[#This Row],[YearsAtCompany]]&lt;=5,"3-5 yrs",TRUE,"5+ yrs")</f>
        <v>3-5 yrs</v>
      </c>
    </row>
    <row r="697" spans="1:36" x14ac:dyDescent="0.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_xlfn.IFS(HrData[[#This Row],[YearsAtCompany]]&lt;=2,"0-2 yrs",HrData[[#This Row],[YearsAtCompany]]&lt;=5,"3-5 yrs",TRUE,"5+ yrs")</f>
        <v>5+ yrs</v>
      </c>
    </row>
    <row r="698" spans="1:36" x14ac:dyDescent="0.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_xlfn.IFS(HrData[[#This Row],[YearsAtCompany]]&lt;=2,"0-2 yrs",HrData[[#This Row],[YearsAtCompany]]&lt;=5,"3-5 yrs",TRUE,"5+ yrs")</f>
        <v>5+ yrs</v>
      </c>
    </row>
    <row r="699" spans="1:36" x14ac:dyDescent="0.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_xlfn.IFS(HrData[[#This Row],[YearsAtCompany]]&lt;=2,"0-2 yrs",HrData[[#This Row],[YearsAtCompany]]&lt;=5,"3-5 yrs",TRUE,"5+ yrs")</f>
        <v>3-5 yrs</v>
      </c>
    </row>
    <row r="700" spans="1:36" x14ac:dyDescent="0.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cm="1">
        <f t="array" ref="AJ700">_xlfn.IFS(HrData[[#This Row],[YearsAtCompany]]&lt;=2,"0-2 yrs",HrData[[#This Row],[YearsAtCompany]]&lt;=5,"3-5 yrs",TRUE,"5+ yrs")</f>
        <v>3-5 yrs</v>
      </c>
    </row>
    <row r="701" spans="1:36" x14ac:dyDescent="0.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_xlfn.IFS(HrData[[#This Row],[YearsAtCompany]]&lt;=2,"0-2 yrs",HrData[[#This Row],[YearsAtCompany]]&lt;=5,"3-5 yrs",TRUE,"5+ yrs")</f>
        <v>5+ yrs</v>
      </c>
    </row>
    <row r="702" spans="1:36" x14ac:dyDescent="0.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_xlfn.IFS(HrData[[#This Row],[YearsAtCompany]]&lt;=2,"0-2 yrs",HrData[[#This Row],[YearsAtCompany]]&lt;=5,"3-5 yrs",TRUE,"5+ yrs")</f>
        <v>0-2 yrs</v>
      </c>
    </row>
    <row r="703" spans="1:36" x14ac:dyDescent="0.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_xlfn.IFS(HrData[[#This Row],[YearsAtCompany]]&lt;=2,"0-2 yrs",HrData[[#This Row],[YearsAtCompany]]&lt;=5,"3-5 yrs",TRUE,"5+ yrs")</f>
        <v>5+ yrs</v>
      </c>
    </row>
    <row r="704" spans="1:36" x14ac:dyDescent="0.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_xlfn.IFS(HrData[[#This Row],[YearsAtCompany]]&lt;=2,"0-2 yrs",HrData[[#This Row],[YearsAtCompany]]&lt;=5,"3-5 yrs",TRUE,"5+ yrs")</f>
        <v>5+ yrs</v>
      </c>
    </row>
    <row r="705" spans="1:36" x14ac:dyDescent="0.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_xlfn.IFS(HrData[[#This Row],[YearsAtCompany]]&lt;=2,"0-2 yrs",HrData[[#This Row],[YearsAtCompany]]&lt;=5,"3-5 yrs",TRUE,"5+ yrs")</f>
        <v>3-5 yrs</v>
      </c>
    </row>
    <row r="706" spans="1:36" x14ac:dyDescent="0.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_xlfn.IFS(HrData[[#This Row],[YearsAtCompany]]&lt;=2,"0-2 yrs",HrData[[#This Row],[YearsAtCompany]]&lt;=5,"3-5 yrs",TRUE,"5+ yrs")</f>
        <v>5+ yrs</v>
      </c>
    </row>
    <row r="707" spans="1:36" x14ac:dyDescent="0.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cm="1">
        <f t="array" ref="AJ707">_xlfn.IFS(HrData[[#This Row],[YearsAtCompany]]&lt;=2,"0-2 yrs",HrData[[#This Row],[YearsAtCompany]]&lt;=5,"3-5 yrs",TRUE,"5+ yrs")</f>
        <v>5+ yrs</v>
      </c>
    </row>
    <row r="708" spans="1:36" x14ac:dyDescent="0.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_xlfn.IFS(HrData[[#This Row],[YearsAtCompany]]&lt;=2,"0-2 yrs",HrData[[#This Row],[YearsAtCompany]]&lt;=5,"3-5 yrs",TRUE,"5+ yrs")</f>
        <v>0-2 yrs</v>
      </c>
    </row>
    <row r="709" spans="1:36" x14ac:dyDescent="0.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_xlfn.IFS(HrData[[#This Row],[YearsAtCompany]]&lt;=2,"0-2 yrs",HrData[[#This Row],[YearsAtCompany]]&lt;=5,"3-5 yrs",TRUE,"5+ yrs")</f>
        <v>5+ yrs</v>
      </c>
    </row>
    <row r="710" spans="1:36" x14ac:dyDescent="0.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_xlfn.IFS(HrData[[#This Row],[YearsAtCompany]]&lt;=2,"0-2 yrs",HrData[[#This Row],[YearsAtCompany]]&lt;=5,"3-5 yrs",TRUE,"5+ yrs")</f>
        <v>5+ yrs</v>
      </c>
    </row>
    <row r="711" spans="1:36" x14ac:dyDescent="0.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_xlfn.IFS(HrData[[#This Row],[YearsAtCompany]]&lt;=2,"0-2 yrs",HrData[[#This Row],[YearsAtCompany]]&lt;=5,"3-5 yrs",TRUE,"5+ yrs")</f>
        <v>3-5 yrs</v>
      </c>
    </row>
    <row r="712" spans="1:36" x14ac:dyDescent="0.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_xlfn.IFS(HrData[[#This Row],[YearsAtCompany]]&lt;=2,"0-2 yrs",HrData[[#This Row],[YearsAtCompany]]&lt;=5,"3-5 yrs",TRUE,"5+ yrs")</f>
        <v>5+ yrs</v>
      </c>
    </row>
    <row r="713" spans="1:36" x14ac:dyDescent="0.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_xlfn.IFS(HrData[[#This Row],[YearsAtCompany]]&lt;=2,"0-2 yrs",HrData[[#This Row],[YearsAtCompany]]&lt;=5,"3-5 yrs",TRUE,"5+ yrs")</f>
        <v>0-2 yrs</v>
      </c>
    </row>
    <row r="714" spans="1:36" x14ac:dyDescent="0.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_xlfn.IFS(HrData[[#This Row],[YearsAtCompany]]&lt;=2,"0-2 yrs",HrData[[#This Row],[YearsAtCompany]]&lt;=5,"3-5 yrs",TRUE,"5+ yrs")</f>
        <v>3-5 yrs</v>
      </c>
    </row>
    <row r="715" spans="1:36" x14ac:dyDescent="0.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_xlfn.IFS(HrData[[#This Row],[YearsAtCompany]]&lt;=2,"0-2 yrs",HrData[[#This Row],[YearsAtCompany]]&lt;=5,"3-5 yrs",TRUE,"5+ yrs")</f>
        <v>3-5 yrs</v>
      </c>
    </row>
    <row r="716" spans="1:36" x14ac:dyDescent="0.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_xlfn.IFS(HrData[[#This Row],[YearsAtCompany]]&lt;=2,"0-2 yrs",HrData[[#This Row],[YearsAtCompany]]&lt;=5,"3-5 yrs",TRUE,"5+ yrs")</f>
        <v>3-5 yrs</v>
      </c>
    </row>
    <row r="717" spans="1:36" x14ac:dyDescent="0.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_xlfn.IFS(HrData[[#This Row],[YearsAtCompany]]&lt;=2,"0-2 yrs",HrData[[#This Row],[YearsAtCompany]]&lt;=5,"3-5 yrs",TRUE,"5+ yrs")</f>
        <v>5+ yrs</v>
      </c>
    </row>
    <row r="718" spans="1:36" x14ac:dyDescent="0.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_xlfn.IFS(HrData[[#This Row],[YearsAtCompany]]&lt;=2,"0-2 yrs",HrData[[#This Row],[YearsAtCompany]]&lt;=5,"3-5 yrs",TRUE,"5+ yrs")</f>
        <v>5+ yrs</v>
      </c>
    </row>
    <row r="719" spans="1:36" x14ac:dyDescent="0.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_xlfn.IFS(HrData[[#This Row],[YearsAtCompany]]&lt;=2,"0-2 yrs",HrData[[#This Row],[YearsAtCompany]]&lt;=5,"3-5 yrs",TRUE,"5+ yrs")</f>
        <v>0-2 yrs</v>
      </c>
    </row>
    <row r="720" spans="1:36" x14ac:dyDescent="0.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_xlfn.IFS(HrData[[#This Row],[YearsAtCompany]]&lt;=2,"0-2 yrs",HrData[[#This Row],[YearsAtCompany]]&lt;=5,"3-5 yrs",TRUE,"5+ yrs")</f>
        <v>5+ yrs</v>
      </c>
    </row>
    <row r="721" spans="1:36" x14ac:dyDescent="0.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cm="1">
        <f t="array" ref="AJ721">_xlfn.IFS(HrData[[#This Row],[YearsAtCompany]]&lt;=2,"0-2 yrs",HrData[[#This Row],[YearsAtCompany]]&lt;=5,"3-5 yrs",TRUE,"5+ yrs")</f>
        <v>5+ yrs</v>
      </c>
    </row>
    <row r="722" spans="1:36" x14ac:dyDescent="0.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_xlfn.IFS(HrData[[#This Row],[YearsAtCompany]]&lt;=2,"0-2 yrs",HrData[[#This Row],[YearsAtCompany]]&lt;=5,"3-5 yrs",TRUE,"5+ yrs")</f>
        <v>3-5 yrs</v>
      </c>
    </row>
    <row r="723" spans="1:36" x14ac:dyDescent="0.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_xlfn.IFS(HrData[[#This Row],[YearsAtCompany]]&lt;=2,"0-2 yrs",HrData[[#This Row],[YearsAtCompany]]&lt;=5,"3-5 yrs",TRUE,"5+ yrs")</f>
        <v>5+ yrs</v>
      </c>
    </row>
    <row r="724" spans="1:36" x14ac:dyDescent="0.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_xlfn.IFS(HrData[[#This Row],[YearsAtCompany]]&lt;=2,"0-2 yrs",HrData[[#This Row],[YearsAtCompany]]&lt;=5,"3-5 yrs",TRUE,"5+ yrs")</f>
        <v>0-2 yrs</v>
      </c>
    </row>
    <row r="725" spans="1:36" x14ac:dyDescent="0.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_xlfn.IFS(HrData[[#This Row],[YearsAtCompany]]&lt;=2,"0-2 yrs",HrData[[#This Row],[YearsAtCompany]]&lt;=5,"3-5 yrs",TRUE,"5+ yrs")</f>
        <v>5+ yrs</v>
      </c>
    </row>
    <row r="726" spans="1:36" x14ac:dyDescent="0.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_xlfn.IFS(HrData[[#This Row],[YearsAtCompany]]&lt;=2,"0-2 yrs",HrData[[#This Row],[YearsAtCompany]]&lt;=5,"3-5 yrs",TRUE,"5+ yrs")</f>
        <v>3-5 yrs</v>
      </c>
    </row>
    <row r="727" spans="1:36" x14ac:dyDescent="0.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_xlfn.IFS(HrData[[#This Row],[YearsAtCompany]]&lt;=2,"0-2 yrs",HrData[[#This Row],[YearsAtCompany]]&lt;=5,"3-5 yrs",TRUE,"5+ yrs")</f>
        <v>3-5 yrs</v>
      </c>
    </row>
    <row r="728" spans="1:36" x14ac:dyDescent="0.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_xlfn.IFS(HrData[[#This Row],[YearsAtCompany]]&lt;=2,"0-2 yrs",HrData[[#This Row],[YearsAtCompany]]&lt;=5,"3-5 yrs",TRUE,"5+ yrs")</f>
        <v>3-5 yrs</v>
      </c>
    </row>
    <row r="729" spans="1:36" x14ac:dyDescent="0.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_xlfn.IFS(HrData[[#This Row],[YearsAtCompany]]&lt;=2,"0-2 yrs",HrData[[#This Row],[YearsAtCompany]]&lt;=5,"3-5 yrs",TRUE,"5+ yrs")</f>
        <v>0-2 yrs</v>
      </c>
    </row>
    <row r="730" spans="1:36" x14ac:dyDescent="0.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_xlfn.IFS(HrData[[#This Row],[YearsAtCompany]]&lt;=2,"0-2 yrs",HrData[[#This Row],[YearsAtCompany]]&lt;=5,"3-5 yrs",TRUE,"5+ yrs")</f>
        <v>5+ yrs</v>
      </c>
    </row>
    <row r="731" spans="1:36" x14ac:dyDescent="0.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_xlfn.IFS(HrData[[#This Row],[YearsAtCompany]]&lt;=2,"0-2 yrs",HrData[[#This Row],[YearsAtCompany]]&lt;=5,"3-5 yrs",TRUE,"5+ yrs")</f>
        <v>5+ yrs</v>
      </c>
    </row>
    <row r="732" spans="1:36" x14ac:dyDescent="0.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_xlfn.IFS(HrData[[#This Row],[YearsAtCompany]]&lt;=2,"0-2 yrs",HrData[[#This Row],[YearsAtCompany]]&lt;=5,"3-5 yrs",TRUE,"5+ yrs")</f>
        <v>5+ yrs</v>
      </c>
    </row>
    <row r="733" spans="1:36" x14ac:dyDescent="0.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_xlfn.IFS(HrData[[#This Row],[YearsAtCompany]]&lt;=2,"0-2 yrs",HrData[[#This Row],[YearsAtCompany]]&lt;=5,"3-5 yrs",TRUE,"5+ yrs")</f>
        <v>0-2 yrs</v>
      </c>
    </row>
    <row r="734" spans="1:36" x14ac:dyDescent="0.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_xlfn.IFS(HrData[[#This Row],[YearsAtCompany]]&lt;=2,"0-2 yrs",HrData[[#This Row],[YearsAtCompany]]&lt;=5,"3-5 yrs",TRUE,"5+ yrs")</f>
        <v>3-5 yrs</v>
      </c>
    </row>
    <row r="735" spans="1:36" x14ac:dyDescent="0.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cm="1">
        <f t="array" ref="AJ735">_xlfn.IFS(HrData[[#This Row],[YearsAtCompany]]&lt;=2,"0-2 yrs",HrData[[#This Row],[YearsAtCompany]]&lt;=5,"3-5 yrs",TRUE,"5+ yrs")</f>
        <v>5+ yrs</v>
      </c>
    </row>
    <row r="736" spans="1:36" x14ac:dyDescent="0.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cm="1">
        <f t="array" ref="AJ736">_xlfn.IFS(HrData[[#This Row],[YearsAtCompany]]&lt;=2,"0-2 yrs",HrData[[#This Row],[YearsAtCompany]]&lt;=5,"3-5 yrs",TRUE,"5+ yrs")</f>
        <v>3-5 yrs</v>
      </c>
    </row>
    <row r="737" spans="1:36" x14ac:dyDescent="0.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_xlfn.IFS(HrData[[#This Row],[YearsAtCompany]]&lt;=2,"0-2 yrs",HrData[[#This Row],[YearsAtCompany]]&lt;=5,"3-5 yrs",TRUE,"5+ yrs")</f>
        <v>0-2 yrs</v>
      </c>
    </row>
    <row r="738" spans="1:36" x14ac:dyDescent="0.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_xlfn.IFS(HrData[[#This Row],[YearsAtCompany]]&lt;=2,"0-2 yrs",HrData[[#This Row],[YearsAtCompany]]&lt;=5,"3-5 yrs",TRUE,"5+ yrs")</f>
        <v>5+ yrs</v>
      </c>
    </row>
    <row r="739" spans="1:36" x14ac:dyDescent="0.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_xlfn.IFS(HrData[[#This Row],[YearsAtCompany]]&lt;=2,"0-2 yrs",HrData[[#This Row],[YearsAtCompany]]&lt;=5,"3-5 yrs",TRUE,"5+ yrs")</f>
        <v>0-2 yrs</v>
      </c>
    </row>
    <row r="740" spans="1:36" x14ac:dyDescent="0.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_xlfn.IFS(HrData[[#This Row],[YearsAtCompany]]&lt;=2,"0-2 yrs",HrData[[#This Row],[YearsAtCompany]]&lt;=5,"3-5 yrs",TRUE,"5+ yrs")</f>
        <v>5+ yrs</v>
      </c>
    </row>
    <row r="741" spans="1:36" x14ac:dyDescent="0.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cm="1">
        <f t="array" ref="AJ741">_xlfn.IFS(HrData[[#This Row],[YearsAtCompany]]&lt;=2,"0-2 yrs",HrData[[#This Row],[YearsAtCompany]]&lt;=5,"3-5 yrs",TRUE,"5+ yrs")</f>
        <v>3-5 yrs</v>
      </c>
    </row>
    <row r="742" spans="1:36" x14ac:dyDescent="0.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_xlfn.IFS(HrData[[#This Row],[YearsAtCompany]]&lt;=2,"0-2 yrs",HrData[[#This Row],[YearsAtCompany]]&lt;=5,"3-5 yrs",TRUE,"5+ yrs")</f>
        <v>3-5 yrs</v>
      </c>
    </row>
    <row r="743" spans="1:36" x14ac:dyDescent="0.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_xlfn.IFS(HrData[[#This Row],[YearsAtCompany]]&lt;=2,"0-2 yrs",HrData[[#This Row],[YearsAtCompany]]&lt;=5,"3-5 yrs",TRUE,"5+ yrs")</f>
        <v>0-2 yrs</v>
      </c>
    </row>
    <row r="744" spans="1:36" x14ac:dyDescent="0.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_xlfn.IFS(HrData[[#This Row],[YearsAtCompany]]&lt;=2,"0-2 yrs",HrData[[#This Row],[YearsAtCompany]]&lt;=5,"3-5 yrs",TRUE,"5+ yrs")</f>
        <v>0-2 yrs</v>
      </c>
    </row>
    <row r="745" spans="1:36" x14ac:dyDescent="0.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_xlfn.IFS(HrData[[#This Row],[YearsAtCompany]]&lt;=2,"0-2 yrs",HrData[[#This Row],[YearsAtCompany]]&lt;=5,"3-5 yrs",TRUE,"5+ yrs")</f>
        <v>3-5 yrs</v>
      </c>
    </row>
    <row r="746" spans="1:36" x14ac:dyDescent="0.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_xlfn.IFS(HrData[[#This Row],[YearsAtCompany]]&lt;=2,"0-2 yrs",HrData[[#This Row],[YearsAtCompany]]&lt;=5,"3-5 yrs",TRUE,"5+ yrs")</f>
        <v>0-2 yrs</v>
      </c>
    </row>
    <row r="747" spans="1:36" x14ac:dyDescent="0.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_xlfn.IFS(HrData[[#This Row],[YearsAtCompany]]&lt;=2,"0-2 yrs",HrData[[#This Row],[YearsAtCompany]]&lt;=5,"3-5 yrs",TRUE,"5+ yrs")</f>
        <v>5+ yrs</v>
      </c>
    </row>
    <row r="748" spans="1:36" x14ac:dyDescent="0.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_xlfn.IFS(HrData[[#This Row],[YearsAtCompany]]&lt;=2,"0-2 yrs",HrData[[#This Row],[YearsAtCompany]]&lt;=5,"3-5 yrs",TRUE,"5+ yrs")</f>
        <v>5+ yrs</v>
      </c>
    </row>
    <row r="749" spans="1:36" x14ac:dyDescent="0.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_xlfn.IFS(HrData[[#This Row],[YearsAtCompany]]&lt;=2,"0-2 yrs",HrData[[#This Row],[YearsAtCompany]]&lt;=5,"3-5 yrs",TRUE,"5+ yrs")</f>
        <v>0-2 yrs</v>
      </c>
    </row>
    <row r="750" spans="1:36" x14ac:dyDescent="0.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_xlfn.IFS(HrData[[#This Row],[YearsAtCompany]]&lt;=2,"0-2 yrs",HrData[[#This Row],[YearsAtCompany]]&lt;=5,"3-5 yrs",TRUE,"5+ yrs")</f>
        <v>0-2 yrs</v>
      </c>
    </row>
    <row r="751" spans="1:36" x14ac:dyDescent="0.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_xlfn.IFS(HrData[[#This Row],[YearsAtCompany]]&lt;=2,"0-2 yrs",HrData[[#This Row],[YearsAtCompany]]&lt;=5,"3-5 yrs",TRUE,"5+ yrs")</f>
        <v>5+ yrs</v>
      </c>
    </row>
    <row r="752" spans="1:36" x14ac:dyDescent="0.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_xlfn.IFS(HrData[[#This Row],[YearsAtCompany]]&lt;=2,"0-2 yrs",HrData[[#This Row],[YearsAtCompany]]&lt;=5,"3-5 yrs",TRUE,"5+ yrs")</f>
        <v>5+ yrs</v>
      </c>
    </row>
    <row r="753" spans="1:36" x14ac:dyDescent="0.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_xlfn.IFS(HrData[[#This Row],[YearsAtCompany]]&lt;=2,"0-2 yrs",HrData[[#This Row],[YearsAtCompany]]&lt;=5,"3-5 yrs",TRUE,"5+ yrs")</f>
        <v>5+ yrs</v>
      </c>
    </row>
    <row r="754" spans="1:36" x14ac:dyDescent="0.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_xlfn.IFS(HrData[[#This Row],[YearsAtCompany]]&lt;=2,"0-2 yrs",HrData[[#This Row],[YearsAtCompany]]&lt;=5,"3-5 yrs",TRUE,"5+ yrs")</f>
        <v>5+ yrs</v>
      </c>
    </row>
    <row r="755" spans="1:36" x14ac:dyDescent="0.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_xlfn.IFS(HrData[[#This Row],[YearsAtCompany]]&lt;=2,"0-2 yrs",HrData[[#This Row],[YearsAtCompany]]&lt;=5,"3-5 yrs",TRUE,"5+ yrs")</f>
        <v>5+ yrs</v>
      </c>
    </row>
    <row r="756" spans="1:36" x14ac:dyDescent="0.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_xlfn.IFS(HrData[[#This Row],[YearsAtCompany]]&lt;=2,"0-2 yrs",HrData[[#This Row],[YearsAtCompany]]&lt;=5,"3-5 yrs",TRUE,"5+ yrs")</f>
        <v>0-2 yrs</v>
      </c>
    </row>
    <row r="757" spans="1:36" x14ac:dyDescent="0.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_xlfn.IFS(HrData[[#This Row],[YearsAtCompany]]&lt;=2,"0-2 yrs",HrData[[#This Row],[YearsAtCompany]]&lt;=5,"3-5 yrs",TRUE,"5+ yrs")</f>
        <v>5+ yrs</v>
      </c>
    </row>
    <row r="758" spans="1:36" x14ac:dyDescent="0.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_xlfn.IFS(HrData[[#This Row],[YearsAtCompany]]&lt;=2,"0-2 yrs",HrData[[#This Row],[YearsAtCompany]]&lt;=5,"3-5 yrs",TRUE,"5+ yrs")</f>
        <v>5+ yrs</v>
      </c>
    </row>
    <row r="759" spans="1:36" x14ac:dyDescent="0.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_xlfn.IFS(HrData[[#This Row],[YearsAtCompany]]&lt;=2,"0-2 yrs",HrData[[#This Row],[YearsAtCompany]]&lt;=5,"3-5 yrs",TRUE,"5+ yrs")</f>
        <v>5+ yrs</v>
      </c>
    </row>
    <row r="760" spans="1:36" x14ac:dyDescent="0.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_xlfn.IFS(HrData[[#This Row],[YearsAtCompany]]&lt;=2,"0-2 yrs",HrData[[#This Row],[YearsAtCompany]]&lt;=5,"3-5 yrs",TRUE,"5+ yrs")</f>
        <v>5+ yrs</v>
      </c>
    </row>
    <row r="761" spans="1:36" x14ac:dyDescent="0.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cm="1">
        <f t="array" ref="AJ761">_xlfn.IFS(HrData[[#This Row],[YearsAtCompany]]&lt;=2,"0-2 yrs",HrData[[#This Row],[YearsAtCompany]]&lt;=5,"3-5 yrs",TRUE,"5+ yrs")</f>
        <v>5+ yrs</v>
      </c>
    </row>
    <row r="762" spans="1:36" x14ac:dyDescent="0.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_xlfn.IFS(HrData[[#This Row],[YearsAtCompany]]&lt;=2,"0-2 yrs",HrData[[#This Row],[YearsAtCompany]]&lt;=5,"3-5 yrs",TRUE,"5+ yrs")</f>
        <v>5+ yrs</v>
      </c>
    </row>
    <row r="763" spans="1:36" x14ac:dyDescent="0.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cm="1">
        <f t="array" ref="AJ763">_xlfn.IFS(HrData[[#This Row],[YearsAtCompany]]&lt;=2,"0-2 yrs",HrData[[#This Row],[YearsAtCompany]]&lt;=5,"3-5 yrs",TRUE,"5+ yrs")</f>
        <v>0-2 yrs</v>
      </c>
    </row>
    <row r="764" spans="1:36" x14ac:dyDescent="0.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_xlfn.IFS(HrData[[#This Row],[YearsAtCompany]]&lt;=2,"0-2 yrs",HrData[[#This Row],[YearsAtCompany]]&lt;=5,"3-5 yrs",TRUE,"5+ yrs")</f>
        <v>3-5 yrs</v>
      </c>
    </row>
    <row r="765" spans="1:36" x14ac:dyDescent="0.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_xlfn.IFS(HrData[[#This Row],[YearsAtCompany]]&lt;=2,"0-2 yrs",HrData[[#This Row],[YearsAtCompany]]&lt;=5,"3-5 yrs",TRUE,"5+ yrs")</f>
        <v>0-2 yrs</v>
      </c>
    </row>
    <row r="766" spans="1:36" x14ac:dyDescent="0.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_xlfn.IFS(HrData[[#This Row],[YearsAtCompany]]&lt;=2,"0-2 yrs",HrData[[#This Row],[YearsAtCompany]]&lt;=5,"3-5 yrs",TRUE,"5+ yrs")</f>
        <v>0-2 yrs</v>
      </c>
    </row>
    <row r="767" spans="1:36" x14ac:dyDescent="0.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cm="1">
        <f t="array" ref="AJ767">_xlfn.IFS(HrData[[#This Row],[YearsAtCompany]]&lt;=2,"0-2 yrs",HrData[[#This Row],[YearsAtCompany]]&lt;=5,"3-5 yrs",TRUE,"5+ yrs")</f>
        <v>0-2 yrs</v>
      </c>
    </row>
    <row r="768" spans="1:36" x14ac:dyDescent="0.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_xlfn.IFS(HrData[[#This Row],[YearsAtCompany]]&lt;=2,"0-2 yrs",HrData[[#This Row],[YearsAtCompany]]&lt;=5,"3-5 yrs",TRUE,"5+ yrs")</f>
        <v>5+ yrs</v>
      </c>
    </row>
    <row r="769" spans="1:36" x14ac:dyDescent="0.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_xlfn.IFS(HrData[[#This Row],[YearsAtCompany]]&lt;=2,"0-2 yrs",HrData[[#This Row],[YearsAtCompany]]&lt;=5,"3-5 yrs",TRUE,"5+ yrs")</f>
        <v>3-5 yrs</v>
      </c>
    </row>
    <row r="770" spans="1:36" x14ac:dyDescent="0.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_xlfn.IFS(HrData[[#This Row],[YearsAtCompany]]&lt;=2,"0-2 yrs",HrData[[#This Row],[YearsAtCompany]]&lt;=5,"3-5 yrs",TRUE,"5+ yrs")</f>
        <v>5+ yrs</v>
      </c>
    </row>
    <row r="771" spans="1:36" x14ac:dyDescent="0.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_xlfn.IFS(HrData[[#This Row],[YearsAtCompany]]&lt;=2,"0-2 yrs",HrData[[#This Row],[YearsAtCompany]]&lt;=5,"3-5 yrs",TRUE,"5+ yrs")</f>
        <v>3-5 yrs</v>
      </c>
    </row>
    <row r="772" spans="1:36" x14ac:dyDescent="0.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_xlfn.IFS(HrData[[#This Row],[YearsAtCompany]]&lt;=2,"0-2 yrs",HrData[[#This Row],[YearsAtCompany]]&lt;=5,"3-5 yrs",TRUE,"5+ yrs")</f>
        <v>0-2 yrs</v>
      </c>
    </row>
    <row r="773" spans="1:36" x14ac:dyDescent="0.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_xlfn.IFS(HrData[[#This Row],[YearsAtCompany]]&lt;=2,"0-2 yrs",HrData[[#This Row],[YearsAtCompany]]&lt;=5,"3-5 yrs",TRUE,"5+ yrs")</f>
        <v>5+ yrs</v>
      </c>
    </row>
    <row r="774" spans="1:36" x14ac:dyDescent="0.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_xlfn.IFS(HrData[[#This Row],[YearsAtCompany]]&lt;=2,"0-2 yrs",HrData[[#This Row],[YearsAtCompany]]&lt;=5,"3-5 yrs",TRUE,"5+ yrs")</f>
        <v>3-5 yrs</v>
      </c>
    </row>
    <row r="775" spans="1:36" x14ac:dyDescent="0.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_xlfn.IFS(HrData[[#This Row],[YearsAtCompany]]&lt;=2,"0-2 yrs",HrData[[#This Row],[YearsAtCompany]]&lt;=5,"3-5 yrs",TRUE,"5+ yrs")</f>
        <v>5+ yrs</v>
      </c>
    </row>
    <row r="776" spans="1:36" x14ac:dyDescent="0.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_xlfn.IFS(HrData[[#This Row],[YearsAtCompany]]&lt;=2,"0-2 yrs",HrData[[#This Row],[YearsAtCompany]]&lt;=5,"3-5 yrs",TRUE,"5+ yrs")</f>
        <v>5+ yrs</v>
      </c>
    </row>
    <row r="777" spans="1:36" x14ac:dyDescent="0.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_xlfn.IFS(HrData[[#This Row],[YearsAtCompany]]&lt;=2,"0-2 yrs",HrData[[#This Row],[YearsAtCompany]]&lt;=5,"3-5 yrs",TRUE,"5+ yrs")</f>
        <v>0-2 yrs</v>
      </c>
    </row>
    <row r="778" spans="1:36" x14ac:dyDescent="0.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_xlfn.IFS(HrData[[#This Row],[YearsAtCompany]]&lt;=2,"0-2 yrs",HrData[[#This Row],[YearsAtCompany]]&lt;=5,"3-5 yrs",TRUE,"5+ yrs")</f>
        <v>0-2 yrs</v>
      </c>
    </row>
    <row r="779" spans="1:36" x14ac:dyDescent="0.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_xlfn.IFS(HrData[[#This Row],[YearsAtCompany]]&lt;=2,"0-2 yrs",HrData[[#This Row],[YearsAtCompany]]&lt;=5,"3-5 yrs",TRUE,"5+ yrs")</f>
        <v>0-2 yrs</v>
      </c>
    </row>
    <row r="780" spans="1:36" x14ac:dyDescent="0.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_xlfn.IFS(HrData[[#This Row],[YearsAtCompany]]&lt;=2,"0-2 yrs",HrData[[#This Row],[YearsAtCompany]]&lt;=5,"3-5 yrs",TRUE,"5+ yrs")</f>
        <v>5+ yrs</v>
      </c>
    </row>
    <row r="781" spans="1:36" x14ac:dyDescent="0.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_xlfn.IFS(HrData[[#This Row],[YearsAtCompany]]&lt;=2,"0-2 yrs",HrData[[#This Row],[YearsAtCompany]]&lt;=5,"3-5 yrs",TRUE,"5+ yrs")</f>
        <v>5+ yrs</v>
      </c>
    </row>
    <row r="782" spans="1:36" x14ac:dyDescent="0.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_xlfn.IFS(HrData[[#This Row],[YearsAtCompany]]&lt;=2,"0-2 yrs",HrData[[#This Row],[YearsAtCompany]]&lt;=5,"3-5 yrs",TRUE,"5+ yrs")</f>
        <v>5+ yrs</v>
      </c>
    </row>
    <row r="783" spans="1:36" x14ac:dyDescent="0.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_xlfn.IFS(HrData[[#This Row],[YearsAtCompany]]&lt;=2,"0-2 yrs",HrData[[#This Row],[YearsAtCompany]]&lt;=5,"3-5 yrs",TRUE,"5+ yrs")</f>
        <v>3-5 yrs</v>
      </c>
    </row>
    <row r="784" spans="1:36" x14ac:dyDescent="0.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cm="1">
        <f t="array" ref="AJ784">_xlfn.IFS(HrData[[#This Row],[YearsAtCompany]]&lt;=2,"0-2 yrs",HrData[[#This Row],[YearsAtCompany]]&lt;=5,"3-5 yrs",TRUE,"5+ yrs")</f>
        <v>5+ yrs</v>
      </c>
    </row>
    <row r="785" spans="1:36" x14ac:dyDescent="0.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_xlfn.IFS(HrData[[#This Row],[YearsAtCompany]]&lt;=2,"0-2 yrs",HrData[[#This Row],[YearsAtCompany]]&lt;=5,"3-5 yrs",TRUE,"5+ yrs")</f>
        <v>5+ yrs</v>
      </c>
    </row>
    <row r="786" spans="1:36" x14ac:dyDescent="0.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_xlfn.IFS(HrData[[#This Row],[YearsAtCompany]]&lt;=2,"0-2 yrs",HrData[[#This Row],[YearsAtCompany]]&lt;=5,"3-5 yrs",TRUE,"5+ yrs")</f>
        <v>5+ yrs</v>
      </c>
    </row>
    <row r="787" spans="1:36" x14ac:dyDescent="0.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_xlfn.IFS(HrData[[#This Row],[YearsAtCompany]]&lt;=2,"0-2 yrs",HrData[[#This Row],[YearsAtCompany]]&lt;=5,"3-5 yrs",TRUE,"5+ yrs")</f>
        <v>5+ yrs</v>
      </c>
    </row>
    <row r="788" spans="1:36" x14ac:dyDescent="0.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cm="1">
        <f t="array" ref="AJ788">_xlfn.IFS(HrData[[#This Row],[YearsAtCompany]]&lt;=2,"0-2 yrs",HrData[[#This Row],[YearsAtCompany]]&lt;=5,"3-5 yrs",TRUE,"5+ yrs")</f>
        <v>3-5 yrs</v>
      </c>
    </row>
    <row r="789" spans="1:36" x14ac:dyDescent="0.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_xlfn.IFS(HrData[[#This Row],[YearsAtCompany]]&lt;=2,"0-2 yrs",HrData[[#This Row],[YearsAtCompany]]&lt;=5,"3-5 yrs",TRUE,"5+ yrs")</f>
        <v>3-5 yrs</v>
      </c>
    </row>
    <row r="790" spans="1:36" x14ac:dyDescent="0.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_xlfn.IFS(HrData[[#This Row],[YearsAtCompany]]&lt;=2,"0-2 yrs",HrData[[#This Row],[YearsAtCompany]]&lt;=5,"3-5 yrs",TRUE,"5+ yrs")</f>
        <v>5+ yrs</v>
      </c>
    </row>
    <row r="791" spans="1:36" x14ac:dyDescent="0.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_xlfn.IFS(HrData[[#This Row],[YearsAtCompany]]&lt;=2,"0-2 yrs",HrData[[#This Row],[YearsAtCompany]]&lt;=5,"3-5 yrs",TRUE,"5+ yrs")</f>
        <v>5+ yrs</v>
      </c>
    </row>
    <row r="792" spans="1:36" x14ac:dyDescent="0.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_xlfn.IFS(HrData[[#This Row],[YearsAtCompany]]&lt;=2,"0-2 yrs",HrData[[#This Row],[YearsAtCompany]]&lt;=5,"3-5 yrs",TRUE,"5+ yrs")</f>
        <v>3-5 yrs</v>
      </c>
    </row>
    <row r="793" spans="1:36" x14ac:dyDescent="0.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_xlfn.IFS(HrData[[#This Row],[YearsAtCompany]]&lt;=2,"0-2 yrs",HrData[[#This Row],[YearsAtCompany]]&lt;=5,"3-5 yrs",TRUE,"5+ yrs")</f>
        <v>5+ yrs</v>
      </c>
    </row>
    <row r="794" spans="1:36" x14ac:dyDescent="0.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_xlfn.IFS(HrData[[#This Row],[YearsAtCompany]]&lt;=2,"0-2 yrs",HrData[[#This Row],[YearsAtCompany]]&lt;=5,"3-5 yrs",TRUE,"5+ yrs")</f>
        <v>5+ yrs</v>
      </c>
    </row>
    <row r="795" spans="1:36" x14ac:dyDescent="0.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_xlfn.IFS(HrData[[#This Row],[YearsAtCompany]]&lt;=2,"0-2 yrs",HrData[[#This Row],[YearsAtCompany]]&lt;=5,"3-5 yrs",TRUE,"5+ yrs")</f>
        <v>3-5 yrs</v>
      </c>
    </row>
    <row r="796" spans="1:36" x14ac:dyDescent="0.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_xlfn.IFS(HrData[[#This Row],[YearsAtCompany]]&lt;=2,"0-2 yrs",HrData[[#This Row],[YearsAtCompany]]&lt;=5,"3-5 yrs",TRUE,"5+ yrs")</f>
        <v>5+ yrs</v>
      </c>
    </row>
    <row r="797" spans="1:36" x14ac:dyDescent="0.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_xlfn.IFS(HrData[[#This Row],[YearsAtCompany]]&lt;=2,"0-2 yrs",HrData[[#This Row],[YearsAtCompany]]&lt;=5,"3-5 yrs",TRUE,"5+ yrs")</f>
        <v>0-2 yrs</v>
      </c>
    </row>
    <row r="798" spans="1:36" x14ac:dyDescent="0.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cm="1">
        <f t="array" ref="AJ798">_xlfn.IFS(HrData[[#This Row],[YearsAtCompany]]&lt;=2,"0-2 yrs",HrData[[#This Row],[YearsAtCompany]]&lt;=5,"3-5 yrs",TRUE,"5+ yrs")</f>
        <v>5+ yrs</v>
      </c>
    </row>
    <row r="799" spans="1:36" x14ac:dyDescent="0.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_xlfn.IFS(HrData[[#This Row],[YearsAtCompany]]&lt;=2,"0-2 yrs",HrData[[#This Row],[YearsAtCompany]]&lt;=5,"3-5 yrs",TRUE,"5+ yrs")</f>
        <v>0-2 yrs</v>
      </c>
    </row>
    <row r="800" spans="1:36" x14ac:dyDescent="0.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cm="1">
        <f t="array" ref="AJ800">_xlfn.IFS(HrData[[#This Row],[YearsAtCompany]]&lt;=2,"0-2 yrs",HrData[[#This Row],[YearsAtCompany]]&lt;=5,"3-5 yrs",TRUE,"5+ yrs")</f>
        <v>0-2 yrs</v>
      </c>
    </row>
    <row r="801" spans="1:36" x14ac:dyDescent="0.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_xlfn.IFS(HrData[[#This Row],[YearsAtCompany]]&lt;=2,"0-2 yrs",HrData[[#This Row],[YearsAtCompany]]&lt;=5,"3-5 yrs",TRUE,"5+ yrs")</f>
        <v>5+ yrs</v>
      </c>
    </row>
    <row r="802" spans="1:36" x14ac:dyDescent="0.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_xlfn.IFS(HrData[[#This Row],[YearsAtCompany]]&lt;=2,"0-2 yrs",HrData[[#This Row],[YearsAtCompany]]&lt;=5,"3-5 yrs",TRUE,"5+ yrs")</f>
        <v>0-2 yrs</v>
      </c>
    </row>
    <row r="803" spans="1:36" x14ac:dyDescent="0.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_xlfn.IFS(HrData[[#This Row],[YearsAtCompany]]&lt;=2,"0-2 yrs",HrData[[#This Row],[YearsAtCompany]]&lt;=5,"3-5 yrs",TRUE,"5+ yrs")</f>
        <v>0-2 yrs</v>
      </c>
    </row>
    <row r="804" spans="1:36" x14ac:dyDescent="0.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_xlfn.IFS(HrData[[#This Row],[YearsAtCompany]]&lt;=2,"0-2 yrs",HrData[[#This Row],[YearsAtCompany]]&lt;=5,"3-5 yrs",TRUE,"5+ yrs")</f>
        <v>3-5 yrs</v>
      </c>
    </row>
    <row r="805" spans="1:36" x14ac:dyDescent="0.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_xlfn.IFS(HrData[[#This Row],[YearsAtCompany]]&lt;=2,"0-2 yrs",HrData[[#This Row],[YearsAtCompany]]&lt;=5,"3-5 yrs",TRUE,"5+ yrs")</f>
        <v>0-2 yrs</v>
      </c>
    </row>
    <row r="806" spans="1:36" x14ac:dyDescent="0.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_xlfn.IFS(HrData[[#This Row],[YearsAtCompany]]&lt;=2,"0-2 yrs",HrData[[#This Row],[YearsAtCompany]]&lt;=5,"3-5 yrs",TRUE,"5+ yrs")</f>
        <v>3-5 yrs</v>
      </c>
    </row>
    <row r="807" spans="1:36" x14ac:dyDescent="0.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_xlfn.IFS(HrData[[#This Row],[YearsAtCompany]]&lt;=2,"0-2 yrs",HrData[[#This Row],[YearsAtCompany]]&lt;=5,"3-5 yrs",TRUE,"5+ yrs")</f>
        <v>5+ yrs</v>
      </c>
    </row>
    <row r="808" spans="1:36" x14ac:dyDescent="0.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_xlfn.IFS(HrData[[#This Row],[YearsAtCompany]]&lt;=2,"0-2 yrs",HrData[[#This Row],[YearsAtCompany]]&lt;=5,"3-5 yrs",TRUE,"5+ yrs")</f>
        <v>5+ yrs</v>
      </c>
    </row>
    <row r="809" spans="1:36" x14ac:dyDescent="0.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cm="1">
        <f t="array" ref="AJ809">_xlfn.IFS(HrData[[#This Row],[YearsAtCompany]]&lt;=2,"0-2 yrs",HrData[[#This Row],[YearsAtCompany]]&lt;=5,"3-5 yrs",TRUE,"5+ yrs")</f>
        <v>5+ yrs</v>
      </c>
    </row>
    <row r="810" spans="1:36" x14ac:dyDescent="0.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_xlfn.IFS(HrData[[#This Row],[YearsAtCompany]]&lt;=2,"0-2 yrs",HrData[[#This Row],[YearsAtCompany]]&lt;=5,"3-5 yrs",TRUE,"5+ yrs")</f>
        <v>5+ yrs</v>
      </c>
    </row>
    <row r="811" spans="1:36" x14ac:dyDescent="0.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_xlfn.IFS(HrData[[#This Row],[YearsAtCompany]]&lt;=2,"0-2 yrs",HrData[[#This Row],[YearsAtCompany]]&lt;=5,"3-5 yrs",TRUE,"5+ yrs")</f>
        <v>5+ yrs</v>
      </c>
    </row>
    <row r="812" spans="1:36" x14ac:dyDescent="0.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_xlfn.IFS(HrData[[#This Row],[YearsAtCompany]]&lt;=2,"0-2 yrs",HrData[[#This Row],[YearsAtCompany]]&lt;=5,"3-5 yrs",TRUE,"5+ yrs")</f>
        <v>5+ yrs</v>
      </c>
    </row>
    <row r="813" spans="1:36" x14ac:dyDescent="0.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_xlfn.IFS(HrData[[#This Row],[YearsAtCompany]]&lt;=2,"0-2 yrs",HrData[[#This Row],[YearsAtCompany]]&lt;=5,"3-5 yrs",TRUE,"5+ yrs")</f>
        <v>0-2 yrs</v>
      </c>
    </row>
    <row r="814" spans="1:36" x14ac:dyDescent="0.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_xlfn.IFS(HrData[[#This Row],[YearsAtCompany]]&lt;=2,"0-2 yrs",HrData[[#This Row],[YearsAtCompany]]&lt;=5,"3-5 yrs",TRUE,"5+ yrs")</f>
        <v>5+ yrs</v>
      </c>
    </row>
    <row r="815" spans="1:36" x14ac:dyDescent="0.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_xlfn.IFS(HrData[[#This Row],[YearsAtCompany]]&lt;=2,"0-2 yrs",HrData[[#This Row],[YearsAtCompany]]&lt;=5,"3-5 yrs",TRUE,"5+ yrs")</f>
        <v>5+ yrs</v>
      </c>
    </row>
    <row r="816" spans="1:36" x14ac:dyDescent="0.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_xlfn.IFS(HrData[[#This Row],[YearsAtCompany]]&lt;=2,"0-2 yrs",HrData[[#This Row],[YearsAtCompany]]&lt;=5,"3-5 yrs",TRUE,"5+ yrs")</f>
        <v>5+ yrs</v>
      </c>
    </row>
    <row r="817" spans="1:36" x14ac:dyDescent="0.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_xlfn.IFS(HrData[[#This Row],[YearsAtCompany]]&lt;=2,"0-2 yrs",HrData[[#This Row],[YearsAtCompany]]&lt;=5,"3-5 yrs",TRUE,"5+ yrs")</f>
        <v>0-2 yrs</v>
      </c>
    </row>
    <row r="818" spans="1:36" x14ac:dyDescent="0.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cm="1">
        <f t="array" ref="AJ818">_xlfn.IFS(HrData[[#This Row],[YearsAtCompany]]&lt;=2,"0-2 yrs",HrData[[#This Row],[YearsAtCompany]]&lt;=5,"3-5 yrs",TRUE,"5+ yrs")</f>
        <v>3-5 yrs</v>
      </c>
    </row>
    <row r="819" spans="1:36" x14ac:dyDescent="0.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_xlfn.IFS(HrData[[#This Row],[YearsAtCompany]]&lt;=2,"0-2 yrs",HrData[[#This Row],[YearsAtCompany]]&lt;=5,"3-5 yrs",TRUE,"5+ yrs")</f>
        <v>5+ yrs</v>
      </c>
    </row>
    <row r="820" spans="1:36" x14ac:dyDescent="0.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_xlfn.IFS(HrData[[#This Row],[YearsAtCompany]]&lt;=2,"0-2 yrs",HrData[[#This Row],[YearsAtCompany]]&lt;=5,"3-5 yrs",TRUE,"5+ yrs")</f>
        <v>0-2 yrs</v>
      </c>
    </row>
    <row r="821" spans="1:36" x14ac:dyDescent="0.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_xlfn.IFS(HrData[[#This Row],[YearsAtCompany]]&lt;=2,"0-2 yrs",HrData[[#This Row],[YearsAtCompany]]&lt;=5,"3-5 yrs",TRUE,"5+ yrs")</f>
        <v>3-5 yrs</v>
      </c>
    </row>
    <row r="822" spans="1:36" x14ac:dyDescent="0.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_xlfn.IFS(HrData[[#This Row],[YearsAtCompany]]&lt;=2,"0-2 yrs",HrData[[#This Row],[YearsAtCompany]]&lt;=5,"3-5 yrs",TRUE,"5+ yrs")</f>
        <v>3-5 yrs</v>
      </c>
    </row>
    <row r="823" spans="1:36" x14ac:dyDescent="0.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_xlfn.IFS(HrData[[#This Row],[YearsAtCompany]]&lt;=2,"0-2 yrs",HrData[[#This Row],[YearsAtCompany]]&lt;=5,"3-5 yrs",TRUE,"5+ yrs")</f>
        <v>5+ yrs</v>
      </c>
    </row>
    <row r="824" spans="1:36" x14ac:dyDescent="0.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_xlfn.IFS(HrData[[#This Row],[YearsAtCompany]]&lt;=2,"0-2 yrs",HrData[[#This Row],[YearsAtCompany]]&lt;=5,"3-5 yrs",TRUE,"5+ yrs")</f>
        <v>3-5 yrs</v>
      </c>
    </row>
    <row r="825" spans="1:36" x14ac:dyDescent="0.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_xlfn.IFS(HrData[[#This Row],[YearsAtCompany]]&lt;=2,"0-2 yrs",HrData[[#This Row],[YearsAtCompany]]&lt;=5,"3-5 yrs",TRUE,"5+ yrs")</f>
        <v>5+ yrs</v>
      </c>
    </row>
    <row r="826" spans="1:36" x14ac:dyDescent="0.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_xlfn.IFS(HrData[[#This Row],[YearsAtCompany]]&lt;=2,"0-2 yrs",HrData[[#This Row],[YearsAtCompany]]&lt;=5,"3-5 yrs",TRUE,"5+ yrs")</f>
        <v>0-2 yrs</v>
      </c>
    </row>
    <row r="827" spans="1:36" x14ac:dyDescent="0.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_xlfn.IFS(HrData[[#This Row],[YearsAtCompany]]&lt;=2,"0-2 yrs",HrData[[#This Row],[YearsAtCompany]]&lt;=5,"3-5 yrs",TRUE,"5+ yrs")</f>
        <v>5+ yrs</v>
      </c>
    </row>
    <row r="828" spans="1:36" x14ac:dyDescent="0.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cm="1">
        <f t="array" ref="AJ828">_xlfn.IFS(HrData[[#This Row],[YearsAtCompany]]&lt;=2,"0-2 yrs",HrData[[#This Row],[YearsAtCompany]]&lt;=5,"3-5 yrs",TRUE,"5+ yrs")</f>
        <v>5+ yrs</v>
      </c>
    </row>
    <row r="829" spans="1:36" x14ac:dyDescent="0.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_xlfn.IFS(HrData[[#This Row],[YearsAtCompany]]&lt;=2,"0-2 yrs",HrData[[#This Row],[YearsAtCompany]]&lt;=5,"3-5 yrs",TRUE,"5+ yrs")</f>
        <v>3-5 yrs</v>
      </c>
    </row>
    <row r="830" spans="1:36" x14ac:dyDescent="0.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_xlfn.IFS(HrData[[#This Row],[YearsAtCompany]]&lt;=2,"0-2 yrs",HrData[[#This Row],[YearsAtCompany]]&lt;=5,"3-5 yrs",TRUE,"5+ yrs")</f>
        <v>0-2 yrs</v>
      </c>
    </row>
    <row r="831" spans="1:36" x14ac:dyDescent="0.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_xlfn.IFS(HrData[[#This Row],[YearsAtCompany]]&lt;=2,"0-2 yrs",HrData[[#This Row],[YearsAtCompany]]&lt;=5,"3-5 yrs",TRUE,"5+ yrs")</f>
        <v>3-5 yrs</v>
      </c>
    </row>
    <row r="832" spans="1:36" x14ac:dyDescent="0.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_xlfn.IFS(HrData[[#This Row],[YearsAtCompany]]&lt;=2,"0-2 yrs",HrData[[#This Row],[YearsAtCompany]]&lt;=5,"3-5 yrs",TRUE,"5+ yrs")</f>
        <v>0-2 yrs</v>
      </c>
    </row>
    <row r="833" spans="1:36" x14ac:dyDescent="0.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cm="1">
        <f t="array" ref="AJ833">_xlfn.IFS(HrData[[#This Row],[YearsAtCompany]]&lt;=2,"0-2 yrs",HrData[[#This Row],[YearsAtCompany]]&lt;=5,"3-5 yrs",TRUE,"5+ yrs")</f>
        <v>0-2 yrs</v>
      </c>
    </row>
    <row r="834" spans="1:36" x14ac:dyDescent="0.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_xlfn.IFS(HrData[[#This Row],[YearsAtCompany]]&lt;=2,"0-2 yrs",HrData[[#This Row],[YearsAtCompany]]&lt;=5,"3-5 yrs",TRUE,"5+ yrs")</f>
        <v>5+ yrs</v>
      </c>
    </row>
    <row r="835" spans="1:36" x14ac:dyDescent="0.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cm="1">
        <f t="array" ref="AJ835">_xlfn.IFS(HrData[[#This Row],[YearsAtCompany]]&lt;=2,"0-2 yrs",HrData[[#This Row],[YearsAtCompany]]&lt;=5,"3-5 yrs",TRUE,"5+ yrs")</f>
        <v>3-5 yrs</v>
      </c>
    </row>
    <row r="836" spans="1:36" x14ac:dyDescent="0.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cm="1">
        <f t="array" ref="AJ836">_xlfn.IFS(HrData[[#This Row],[YearsAtCompany]]&lt;=2,"0-2 yrs",HrData[[#This Row],[YearsAtCompany]]&lt;=5,"3-5 yrs",TRUE,"5+ yrs")</f>
        <v>5+ yrs</v>
      </c>
    </row>
    <row r="837" spans="1:36" x14ac:dyDescent="0.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cm="1">
        <f t="array" ref="AJ837">_xlfn.IFS(HrData[[#This Row],[YearsAtCompany]]&lt;=2,"0-2 yrs",HrData[[#This Row],[YearsAtCompany]]&lt;=5,"3-5 yrs",TRUE,"5+ yrs")</f>
        <v>3-5 yrs</v>
      </c>
    </row>
    <row r="838" spans="1:36" x14ac:dyDescent="0.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_xlfn.IFS(HrData[[#This Row],[YearsAtCompany]]&lt;=2,"0-2 yrs",HrData[[#This Row],[YearsAtCompany]]&lt;=5,"3-5 yrs",TRUE,"5+ yrs")</f>
        <v>5+ yrs</v>
      </c>
    </row>
    <row r="839" spans="1:36" x14ac:dyDescent="0.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_xlfn.IFS(HrData[[#This Row],[YearsAtCompany]]&lt;=2,"0-2 yrs",HrData[[#This Row],[YearsAtCompany]]&lt;=5,"3-5 yrs",TRUE,"5+ yrs")</f>
        <v>5+ yrs</v>
      </c>
    </row>
    <row r="840" spans="1:36" x14ac:dyDescent="0.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_xlfn.IFS(HrData[[#This Row],[YearsAtCompany]]&lt;=2,"0-2 yrs",HrData[[#This Row],[YearsAtCompany]]&lt;=5,"3-5 yrs",TRUE,"5+ yrs")</f>
        <v>5+ yrs</v>
      </c>
    </row>
    <row r="841" spans="1:36" x14ac:dyDescent="0.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cm="1">
        <f t="array" ref="AJ841">_xlfn.IFS(HrData[[#This Row],[YearsAtCompany]]&lt;=2,"0-2 yrs",HrData[[#This Row],[YearsAtCompany]]&lt;=5,"3-5 yrs",TRUE,"5+ yrs")</f>
        <v>5+ yrs</v>
      </c>
    </row>
    <row r="842" spans="1:36" x14ac:dyDescent="0.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_xlfn.IFS(HrData[[#This Row],[YearsAtCompany]]&lt;=2,"0-2 yrs",HrData[[#This Row],[YearsAtCompany]]&lt;=5,"3-5 yrs",TRUE,"5+ yrs")</f>
        <v>5+ yrs</v>
      </c>
    </row>
    <row r="843" spans="1:36" x14ac:dyDescent="0.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cm="1">
        <f t="array" ref="AJ843">_xlfn.IFS(HrData[[#This Row],[YearsAtCompany]]&lt;=2,"0-2 yrs",HrData[[#This Row],[YearsAtCompany]]&lt;=5,"3-5 yrs",TRUE,"5+ yrs")</f>
        <v>3-5 yrs</v>
      </c>
    </row>
    <row r="844" spans="1:36" x14ac:dyDescent="0.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_xlfn.IFS(HrData[[#This Row],[YearsAtCompany]]&lt;=2,"0-2 yrs",HrData[[#This Row],[YearsAtCompany]]&lt;=5,"3-5 yrs",TRUE,"5+ yrs")</f>
        <v>0-2 yrs</v>
      </c>
    </row>
    <row r="845" spans="1:36" x14ac:dyDescent="0.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_xlfn.IFS(HrData[[#This Row],[YearsAtCompany]]&lt;=2,"0-2 yrs",HrData[[#This Row],[YearsAtCompany]]&lt;=5,"3-5 yrs",TRUE,"5+ yrs")</f>
        <v>5+ yrs</v>
      </c>
    </row>
    <row r="846" spans="1:36" x14ac:dyDescent="0.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_xlfn.IFS(HrData[[#This Row],[YearsAtCompany]]&lt;=2,"0-2 yrs",HrData[[#This Row],[YearsAtCompany]]&lt;=5,"3-5 yrs",TRUE,"5+ yrs")</f>
        <v>5+ yrs</v>
      </c>
    </row>
    <row r="847" spans="1:36" x14ac:dyDescent="0.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_xlfn.IFS(HrData[[#This Row],[YearsAtCompany]]&lt;=2,"0-2 yrs",HrData[[#This Row],[YearsAtCompany]]&lt;=5,"3-5 yrs",TRUE,"5+ yrs")</f>
        <v>0-2 yrs</v>
      </c>
    </row>
    <row r="848" spans="1:36" x14ac:dyDescent="0.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_xlfn.IFS(HrData[[#This Row],[YearsAtCompany]]&lt;=2,"0-2 yrs",HrData[[#This Row],[YearsAtCompany]]&lt;=5,"3-5 yrs",TRUE,"5+ yrs")</f>
        <v>5+ yrs</v>
      </c>
    </row>
    <row r="849" spans="1:36" x14ac:dyDescent="0.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_xlfn.IFS(HrData[[#This Row],[YearsAtCompany]]&lt;=2,"0-2 yrs",HrData[[#This Row],[YearsAtCompany]]&lt;=5,"3-5 yrs",TRUE,"5+ yrs")</f>
        <v>5+ yrs</v>
      </c>
    </row>
    <row r="850" spans="1:36" x14ac:dyDescent="0.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_xlfn.IFS(HrData[[#This Row],[YearsAtCompany]]&lt;=2,"0-2 yrs",HrData[[#This Row],[YearsAtCompany]]&lt;=5,"3-5 yrs",TRUE,"5+ yrs")</f>
        <v>0-2 yrs</v>
      </c>
    </row>
    <row r="851" spans="1:36" x14ac:dyDescent="0.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cm="1">
        <f t="array" ref="AJ851">_xlfn.IFS(HrData[[#This Row],[YearsAtCompany]]&lt;=2,"0-2 yrs",HrData[[#This Row],[YearsAtCompany]]&lt;=5,"3-5 yrs",TRUE,"5+ yrs")</f>
        <v>3-5 yrs</v>
      </c>
    </row>
    <row r="852" spans="1:36" x14ac:dyDescent="0.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_xlfn.IFS(HrData[[#This Row],[YearsAtCompany]]&lt;=2,"0-2 yrs",HrData[[#This Row],[YearsAtCompany]]&lt;=5,"3-5 yrs",TRUE,"5+ yrs")</f>
        <v>0-2 yrs</v>
      </c>
    </row>
    <row r="853" spans="1:36" x14ac:dyDescent="0.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_xlfn.IFS(HrData[[#This Row],[YearsAtCompany]]&lt;=2,"0-2 yrs",HrData[[#This Row],[YearsAtCompany]]&lt;=5,"3-5 yrs",TRUE,"5+ yrs")</f>
        <v>3-5 yrs</v>
      </c>
    </row>
    <row r="854" spans="1:36" x14ac:dyDescent="0.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_xlfn.IFS(HrData[[#This Row],[YearsAtCompany]]&lt;=2,"0-2 yrs",HrData[[#This Row],[YearsAtCompany]]&lt;=5,"3-5 yrs",TRUE,"5+ yrs")</f>
        <v>5+ yrs</v>
      </c>
    </row>
    <row r="855" spans="1:36" x14ac:dyDescent="0.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cm="1">
        <f t="array" ref="AJ855">_xlfn.IFS(HrData[[#This Row],[YearsAtCompany]]&lt;=2,"0-2 yrs",HrData[[#This Row],[YearsAtCompany]]&lt;=5,"3-5 yrs",TRUE,"5+ yrs")</f>
        <v>0-2 yrs</v>
      </c>
    </row>
    <row r="856" spans="1:36" x14ac:dyDescent="0.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_xlfn.IFS(HrData[[#This Row],[YearsAtCompany]]&lt;=2,"0-2 yrs",HrData[[#This Row],[YearsAtCompany]]&lt;=5,"3-5 yrs",TRUE,"5+ yrs")</f>
        <v>3-5 yrs</v>
      </c>
    </row>
    <row r="857" spans="1:36" x14ac:dyDescent="0.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_xlfn.IFS(HrData[[#This Row],[YearsAtCompany]]&lt;=2,"0-2 yrs",HrData[[#This Row],[YearsAtCompany]]&lt;=5,"3-5 yrs",TRUE,"5+ yrs")</f>
        <v>5+ yrs</v>
      </c>
    </row>
    <row r="858" spans="1:36" x14ac:dyDescent="0.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_xlfn.IFS(HrData[[#This Row],[YearsAtCompany]]&lt;=2,"0-2 yrs",HrData[[#This Row],[YearsAtCompany]]&lt;=5,"3-5 yrs",TRUE,"5+ yrs")</f>
        <v>0-2 yrs</v>
      </c>
    </row>
    <row r="859" spans="1:36" x14ac:dyDescent="0.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_xlfn.IFS(HrData[[#This Row],[YearsAtCompany]]&lt;=2,"0-2 yrs",HrData[[#This Row],[YearsAtCompany]]&lt;=5,"3-5 yrs",TRUE,"5+ yrs")</f>
        <v>5+ yrs</v>
      </c>
    </row>
    <row r="860" spans="1:36" x14ac:dyDescent="0.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_xlfn.IFS(HrData[[#This Row],[YearsAtCompany]]&lt;=2,"0-2 yrs",HrData[[#This Row],[YearsAtCompany]]&lt;=5,"3-5 yrs",TRUE,"5+ yrs")</f>
        <v>5+ yrs</v>
      </c>
    </row>
    <row r="861" spans="1:36" x14ac:dyDescent="0.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_xlfn.IFS(HrData[[#This Row],[YearsAtCompany]]&lt;=2,"0-2 yrs",HrData[[#This Row],[YearsAtCompany]]&lt;=5,"3-5 yrs",TRUE,"5+ yrs")</f>
        <v>3-5 yrs</v>
      </c>
    </row>
    <row r="862" spans="1:36" x14ac:dyDescent="0.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_xlfn.IFS(HrData[[#This Row],[YearsAtCompany]]&lt;=2,"0-2 yrs",HrData[[#This Row],[YearsAtCompany]]&lt;=5,"3-5 yrs",TRUE,"5+ yrs")</f>
        <v>0-2 yrs</v>
      </c>
    </row>
    <row r="863" spans="1:36" x14ac:dyDescent="0.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_xlfn.IFS(HrData[[#This Row],[YearsAtCompany]]&lt;=2,"0-2 yrs",HrData[[#This Row],[YearsAtCompany]]&lt;=5,"3-5 yrs",TRUE,"5+ yrs")</f>
        <v>5+ yrs</v>
      </c>
    </row>
    <row r="864" spans="1:36" x14ac:dyDescent="0.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cm="1">
        <f t="array" ref="AJ864">_xlfn.IFS(HrData[[#This Row],[YearsAtCompany]]&lt;=2,"0-2 yrs",HrData[[#This Row],[YearsAtCompany]]&lt;=5,"3-5 yrs",TRUE,"5+ yrs")</f>
        <v>0-2 yrs</v>
      </c>
    </row>
    <row r="865" spans="1:36" x14ac:dyDescent="0.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cm="1">
        <f t="array" ref="AJ865">_xlfn.IFS(HrData[[#This Row],[YearsAtCompany]]&lt;=2,"0-2 yrs",HrData[[#This Row],[YearsAtCompany]]&lt;=5,"3-5 yrs",TRUE,"5+ yrs")</f>
        <v>3-5 yrs</v>
      </c>
    </row>
    <row r="866" spans="1:36" x14ac:dyDescent="0.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_xlfn.IFS(HrData[[#This Row],[YearsAtCompany]]&lt;=2,"0-2 yrs",HrData[[#This Row],[YearsAtCompany]]&lt;=5,"3-5 yrs",TRUE,"5+ yrs")</f>
        <v>0-2 yrs</v>
      </c>
    </row>
    <row r="867" spans="1:36" x14ac:dyDescent="0.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_xlfn.IFS(HrData[[#This Row],[YearsAtCompany]]&lt;=2,"0-2 yrs",HrData[[#This Row],[YearsAtCompany]]&lt;=5,"3-5 yrs",TRUE,"5+ yrs")</f>
        <v>3-5 yrs</v>
      </c>
    </row>
    <row r="868" spans="1:36" x14ac:dyDescent="0.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_xlfn.IFS(HrData[[#This Row],[YearsAtCompany]]&lt;=2,"0-2 yrs",HrData[[#This Row],[YearsAtCompany]]&lt;=5,"3-5 yrs",TRUE,"5+ yrs")</f>
        <v>0-2 yrs</v>
      </c>
    </row>
    <row r="869" spans="1:36" x14ac:dyDescent="0.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_xlfn.IFS(HrData[[#This Row],[YearsAtCompany]]&lt;=2,"0-2 yrs",HrData[[#This Row],[YearsAtCompany]]&lt;=5,"3-5 yrs",TRUE,"5+ yrs")</f>
        <v>0-2 yrs</v>
      </c>
    </row>
    <row r="870" spans="1:36" x14ac:dyDescent="0.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_xlfn.IFS(HrData[[#This Row],[YearsAtCompany]]&lt;=2,"0-2 yrs",HrData[[#This Row],[YearsAtCompany]]&lt;=5,"3-5 yrs",TRUE,"5+ yrs")</f>
        <v>5+ yrs</v>
      </c>
    </row>
    <row r="871" spans="1:36" x14ac:dyDescent="0.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_xlfn.IFS(HrData[[#This Row],[YearsAtCompany]]&lt;=2,"0-2 yrs",HrData[[#This Row],[YearsAtCompany]]&lt;=5,"3-5 yrs",TRUE,"5+ yrs")</f>
        <v>3-5 yrs</v>
      </c>
    </row>
    <row r="872" spans="1:36" x14ac:dyDescent="0.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_xlfn.IFS(HrData[[#This Row],[YearsAtCompany]]&lt;=2,"0-2 yrs",HrData[[#This Row],[YearsAtCompany]]&lt;=5,"3-5 yrs",TRUE,"5+ yrs")</f>
        <v>5+ yrs</v>
      </c>
    </row>
    <row r="873" spans="1:36" x14ac:dyDescent="0.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cm="1">
        <f t="array" ref="AJ873">_xlfn.IFS(HrData[[#This Row],[YearsAtCompany]]&lt;=2,"0-2 yrs",HrData[[#This Row],[YearsAtCompany]]&lt;=5,"3-5 yrs",TRUE,"5+ yrs")</f>
        <v>0-2 yrs</v>
      </c>
    </row>
    <row r="874" spans="1:36" x14ac:dyDescent="0.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_xlfn.IFS(HrData[[#This Row],[YearsAtCompany]]&lt;=2,"0-2 yrs",HrData[[#This Row],[YearsAtCompany]]&lt;=5,"3-5 yrs",TRUE,"5+ yrs")</f>
        <v>5+ yrs</v>
      </c>
    </row>
    <row r="875" spans="1:36" x14ac:dyDescent="0.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cm="1">
        <f t="array" ref="AJ875">_xlfn.IFS(HrData[[#This Row],[YearsAtCompany]]&lt;=2,"0-2 yrs",HrData[[#This Row],[YearsAtCompany]]&lt;=5,"3-5 yrs",TRUE,"5+ yrs")</f>
        <v>5+ yrs</v>
      </c>
    </row>
    <row r="876" spans="1:36" x14ac:dyDescent="0.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_xlfn.IFS(HrData[[#This Row],[YearsAtCompany]]&lt;=2,"0-2 yrs",HrData[[#This Row],[YearsAtCompany]]&lt;=5,"3-5 yrs",TRUE,"5+ yrs")</f>
        <v>5+ yrs</v>
      </c>
    </row>
    <row r="877" spans="1:36" x14ac:dyDescent="0.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_xlfn.IFS(HrData[[#This Row],[YearsAtCompany]]&lt;=2,"0-2 yrs",HrData[[#This Row],[YearsAtCompany]]&lt;=5,"3-5 yrs",TRUE,"5+ yrs")</f>
        <v>5+ yrs</v>
      </c>
    </row>
    <row r="878" spans="1:36" x14ac:dyDescent="0.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cm="1">
        <f t="array" ref="AJ878">_xlfn.IFS(HrData[[#This Row],[YearsAtCompany]]&lt;=2,"0-2 yrs",HrData[[#This Row],[YearsAtCompany]]&lt;=5,"3-5 yrs",TRUE,"5+ yrs")</f>
        <v>0-2 yrs</v>
      </c>
    </row>
    <row r="879" spans="1:36" x14ac:dyDescent="0.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_xlfn.IFS(HrData[[#This Row],[YearsAtCompany]]&lt;=2,"0-2 yrs",HrData[[#This Row],[YearsAtCompany]]&lt;=5,"3-5 yrs",TRUE,"5+ yrs")</f>
        <v>5+ yrs</v>
      </c>
    </row>
    <row r="880" spans="1:36" x14ac:dyDescent="0.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_xlfn.IFS(HrData[[#This Row],[YearsAtCompany]]&lt;=2,"0-2 yrs",HrData[[#This Row],[YearsAtCompany]]&lt;=5,"3-5 yrs",TRUE,"5+ yrs")</f>
        <v>3-5 yrs</v>
      </c>
    </row>
    <row r="881" spans="1:36" x14ac:dyDescent="0.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_xlfn.IFS(HrData[[#This Row],[YearsAtCompany]]&lt;=2,"0-2 yrs",HrData[[#This Row],[YearsAtCompany]]&lt;=5,"3-5 yrs",TRUE,"5+ yrs")</f>
        <v>5+ yrs</v>
      </c>
    </row>
    <row r="882" spans="1:36" x14ac:dyDescent="0.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_xlfn.IFS(HrData[[#This Row],[YearsAtCompany]]&lt;=2,"0-2 yrs",HrData[[#This Row],[YearsAtCompany]]&lt;=5,"3-5 yrs",TRUE,"5+ yrs")</f>
        <v>0-2 yrs</v>
      </c>
    </row>
    <row r="883" spans="1:36" x14ac:dyDescent="0.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_xlfn.IFS(HrData[[#This Row],[YearsAtCompany]]&lt;=2,"0-2 yrs",HrData[[#This Row],[YearsAtCompany]]&lt;=5,"3-5 yrs",TRUE,"5+ yrs")</f>
        <v>5+ yrs</v>
      </c>
    </row>
    <row r="884" spans="1:36" x14ac:dyDescent="0.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_xlfn.IFS(HrData[[#This Row],[YearsAtCompany]]&lt;=2,"0-2 yrs",HrData[[#This Row],[YearsAtCompany]]&lt;=5,"3-5 yrs",TRUE,"5+ yrs")</f>
        <v>5+ yrs</v>
      </c>
    </row>
    <row r="885" spans="1:36" x14ac:dyDescent="0.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_xlfn.IFS(HrData[[#This Row],[YearsAtCompany]]&lt;=2,"0-2 yrs",HrData[[#This Row],[YearsAtCompany]]&lt;=5,"3-5 yrs",TRUE,"5+ yrs")</f>
        <v>5+ yrs</v>
      </c>
    </row>
    <row r="886" spans="1:36" x14ac:dyDescent="0.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_xlfn.IFS(HrData[[#This Row],[YearsAtCompany]]&lt;=2,"0-2 yrs",HrData[[#This Row],[YearsAtCompany]]&lt;=5,"3-5 yrs",TRUE,"5+ yrs")</f>
        <v>3-5 yrs</v>
      </c>
    </row>
    <row r="887" spans="1:36" x14ac:dyDescent="0.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_xlfn.IFS(HrData[[#This Row],[YearsAtCompany]]&lt;=2,"0-2 yrs",HrData[[#This Row],[YearsAtCompany]]&lt;=5,"3-5 yrs",TRUE,"5+ yrs")</f>
        <v>3-5 yrs</v>
      </c>
    </row>
    <row r="888" spans="1:36" x14ac:dyDescent="0.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_xlfn.IFS(HrData[[#This Row],[YearsAtCompany]]&lt;=2,"0-2 yrs",HrData[[#This Row],[YearsAtCompany]]&lt;=5,"3-5 yrs",TRUE,"5+ yrs")</f>
        <v>5+ yrs</v>
      </c>
    </row>
    <row r="889" spans="1:36" x14ac:dyDescent="0.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_xlfn.IFS(HrData[[#This Row],[YearsAtCompany]]&lt;=2,"0-2 yrs",HrData[[#This Row],[YearsAtCompany]]&lt;=5,"3-5 yrs",TRUE,"5+ yrs")</f>
        <v>0-2 yrs</v>
      </c>
    </row>
    <row r="890" spans="1:36" x14ac:dyDescent="0.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_xlfn.IFS(HrData[[#This Row],[YearsAtCompany]]&lt;=2,"0-2 yrs",HrData[[#This Row],[YearsAtCompany]]&lt;=5,"3-5 yrs",TRUE,"5+ yrs")</f>
        <v>5+ yrs</v>
      </c>
    </row>
    <row r="891" spans="1:36" x14ac:dyDescent="0.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_xlfn.IFS(HrData[[#This Row],[YearsAtCompany]]&lt;=2,"0-2 yrs",HrData[[#This Row],[YearsAtCompany]]&lt;=5,"3-5 yrs",TRUE,"5+ yrs")</f>
        <v>5+ yrs</v>
      </c>
    </row>
    <row r="892" spans="1:36" x14ac:dyDescent="0.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_xlfn.IFS(HrData[[#This Row],[YearsAtCompany]]&lt;=2,"0-2 yrs",HrData[[#This Row],[YearsAtCompany]]&lt;=5,"3-5 yrs",TRUE,"5+ yrs")</f>
        <v>3-5 yrs</v>
      </c>
    </row>
    <row r="893" spans="1:36" x14ac:dyDescent="0.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_xlfn.IFS(HrData[[#This Row],[YearsAtCompany]]&lt;=2,"0-2 yrs",HrData[[#This Row],[YearsAtCompany]]&lt;=5,"3-5 yrs",TRUE,"5+ yrs")</f>
        <v>5+ yrs</v>
      </c>
    </row>
    <row r="894" spans="1:36" x14ac:dyDescent="0.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cm="1">
        <f t="array" ref="AJ894">_xlfn.IFS(HrData[[#This Row],[YearsAtCompany]]&lt;=2,"0-2 yrs",HrData[[#This Row],[YearsAtCompany]]&lt;=5,"3-5 yrs",TRUE,"5+ yrs")</f>
        <v>0-2 yrs</v>
      </c>
    </row>
    <row r="895" spans="1:36" x14ac:dyDescent="0.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cm="1">
        <f t="array" ref="AJ895">_xlfn.IFS(HrData[[#This Row],[YearsAtCompany]]&lt;=2,"0-2 yrs",HrData[[#This Row],[YearsAtCompany]]&lt;=5,"3-5 yrs",TRUE,"5+ yrs")</f>
        <v>3-5 yrs</v>
      </c>
    </row>
    <row r="896" spans="1:36" x14ac:dyDescent="0.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_xlfn.IFS(HrData[[#This Row],[YearsAtCompany]]&lt;=2,"0-2 yrs",HrData[[#This Row],[YearsAtCompany]]&lt;=5,"3-5 yrs",TRUE,"5+ yrs")</f>
        <v>5+ yrs</v>
      </c>
    </row>
    <row r="897" spans="1:36" x14ac:dyDescent="0.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_xlfn.IFS(HrData[[#This Row],[YearsAtCompany]]&lt;=2,"0-2 yrs",HrData[[#This Row],[YearsAtCompany]]&lt;=5,"3-5 yrs",TRUE,"5+ yrs")</f>
        <v>5+ yrs</v>
      </c>
    </row>
    <row r="898" spans="1:36" x14ac:dyDescent="0.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_xlfn.IFS(HrData[[#This Row],[YearsAtCompany]]&lt;=2,"0-2 yrs",HrData[[#This Row],[YearsAtCompany]]&lt;=5,"3-5 yrs",TRUE,"5+ yrs")</f>
        <v>5+ yrs</v>
      </c>
    </row>
    <row r="899" spans="1:36" x14ac:dyDescent="0.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_xlfn.IFS(HrData[[#This Row],[YearsAtCompany]]&lt;=2,"0-2 yrs",HrData[[#This Row],[YearsAtCompany]]&lt;=5,"3-5 yrs",TRUE,"5+ yrs")</f>
        <v>5+ yrs</v>
      </c>
    </row>
    <row r="900" spans="1:36" x14ac:dyDescent="0.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_xlfn.IFS(HrData[[#This Row],[YearsAtCompany]]&lt;=2,"0-2 yrs",HrData[[#This Row],[YearsAtCompany]]&lt;=5,"3-5 yrs",TRUE,"5+ yrs")</f>
        <v>5+ yrs</v>
      </c>
    </row>
    <row r="901" spans="1:36" x14ac:dyDescent="0.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_xlfn.IFS(HrData[[#This Row],[YearsAtCompany]]&lt;=2,"0-2 yrs",HrData[[#This Row],[YearsAtCompany]]&lt;=5,"3-5 yrs",TRUE,"5+ yrs")</f>
        <v>0-2 yrs</v>
      </c>
    </row>
    <row r="902" spans="1:36" x14ac:dyDescent="0.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_xlfn.IFS(HrData[[#This Row],[YearsAtCompany]]&lt;=2,"0-2 yrs",HrData[[#This Row],[YearsAtCompany]]&lt;=5,"3-5 yrs",TRUE,"5+ yrs")</f>
        <v>5+ yrs</v>
      </c>
    </row>
    <row r="903" spans="1:36" x14ac:dyDescent="0.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_xlfn.IFS(HrData[[#This Row],[YearsAtCompany]]&lt;=2,"0-2 yrs",HrData[[#This Row],[YearsAtCompany]]&lt;=5,"3-5 yrs",TRUE,"5+ yrs")</f>
        <v>0-2 yrs</v>
      </c>
    </row>
    <row r="904" spans="1:36" x14ac:dyDescent="0.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cm="1">
        <f t="array" ref="AJ904">_xlfn.IFS(HrData[[#This Row],[YearsAtCompany]]&lt;=2,"0-2 yrs",HrData[[#This Row],[YearsAtCompany]]&lt;=5,"3-5 yrs",TRUE,"5+ yrs")</f>
        <v>3-5 yrs</v>
      </c>
    </row>
    <row r="905" spans="1:36" x14ac:dyDescent="0.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cm="1">
        <f t="array" ref="AJ905">_xlfn.IFS(HrData[[#This Row],[YearsAtCompany]]&lt;=2,"0-2 yrs",HrData[[#This Row],[YearsAtCompany]]&lt;=5,"3-5 yrs",TRUE,"5+ yrs")</f>
        <v>5+ yrs</v>
      </c>
    </row>
    <row r="906" spans="1:36" x14ac:dyDescent="0.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_xlfn.IFS(HrData[[#This Row],[YearsAtCompany]]&lt;=2,"0-2 yrs",HrData[[#This Row],[YearsAtCompany]]&lt;=5,"3-5 yrs",TRUE,"5+ yrs")</f>
        <v>0-2 yrs</v>
      </c>
    </row>
    <row r="907" spans="1:36" x14ac:dyDescent="0.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cm="1">
        <f t="array" ref="AJ907">_xlfn.IFS(HrData[[#This Row],[YearsAtCompany]]&lt;=2,"0-2 yrs",HrData[[#This Row],[YearsAtCompany]]&lt;=5,"3-5 yrs",TRUE,"5+ yrs")</f>
        <v>5+ yrs</v>
      </c>
    </row>
    <row r="908" spans="1:36" x14ac:dyDescent="0.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_xlfn.IFS(HrData[[#This Row],[YearsAtCompany]]&lt;=2,"0-2 yrs",HrData[[#This Row],[YearsAtCompany]]&lt;=5,"3-5 yrs",TRUE,"5+ yrs")</f>
        <v>0-2 yrs</v>
      </c>
    </row>
    <row r="909" spans="1:36" x14ac:dyDescent="0.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_xlfn.IFS(HrData[[#This Row],[YearsAtCompany]]&lt;=2,"0-2 yrs",HrData[[#This Row],[YearsAtCompany]]&lt;=5,"3-5 yrs",TRUE,"5+ yrs")</f>
        <v>5+ yrs</v>
      </c>
    </row>
    <row r="910" spans="1:36" x14ac:dyDescent="0.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_xlfn.IFS(HrData[[#This Row],[YearsAtCompany]]&lt;=2,"0-2 yrs",HrData[[#This Row],[YearsAtCompany]]&lt;=5,"3-5 yrs",TRUE,"5+ yrs")</f>
        <v>5+ yrs</v>
      </c>
    </row>
    <row r="911" spans="1:36" x14ac:dyDescent="0.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_xlfn.IFS(HrData[[#This Row],[YearsAtCompany]]&lt;=2,"0-2 yrs",HrData[[#This Row],[YearsAtCompany]]&lt;=5,"3-5 yrs",TRUE,"5+ yrs")</f>
        <v>0-2 yrs</v>
      </c>
    </row>
    <row r="912" spans="1:36" x14ac:dyDescent="0.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_xlfn.IFS(HrData[[#This Row],[YearsAtCompany]]&lt;=2,"0-2 yrs",HrData[[#This Row],[YearsAtCompany]]&lt;=5,"3-5 yrs",TRUE,"5+ yrs")</f>
        <v>0-2 yrs</v>
      </c>
    </row>
    <row r="913" spans="1:36" x14ac:dyDescent="0.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cm="1">
        <f t="array" ref="AJ913">_xlfn.IFS(HrData[[#This Row],[YearsAtCompany]]&lt;=2,"0-2 yrs",HrData[[#This Row],[YearsAtCompany]]&lt;=5,"3-5 yrs",TRUE,"5+ yrs")</f>
        <v>0-2 yrs</v>
      </c>
    </row>
    <row r="914" spans="1:36" x14ac:dyDescent="0.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cm="1">
        <f t="array" ref="AJ914">_xlfn.IFS(HrData[[#This Row],[YearsAtCompany]]&lt;=2,"0-2 yrs",HrData[[#This Row],[YearsAtCompany]]&lt;=5,"3-5 yrs",TRUE,"5+ yrs")</f>
        <v>5+ yrs</v>
      </c>
    </row>
    <row r="915" spans="1:36" x14ac:dyDescent="0.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_xlfn.IFS(HrData[[#This Row],[YearsAtCompany]]&lt;=2,"0-2 yrs",HrData[[#This Row],[YearsAtCompany]]&lt;=5,"3-5 yrs",TRUE,"5+ yrs")</f>
        <v>5+ yrs</v>
      </c>
    </row>
    <row r="916" spans="1:36" x14ac:dyDescent="0.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_xlfn.IFS(HrData[[#This Row],[YearsAtCompany]]&lt;=2,"0-2 yrs",HrData[[#This Row],[YearsAtCompany]]&lt;=5,"3-5 yrs",TRUE,"5+ yrs")</f>
        <v>5+ yrs</v>
      </c>
    </row>
    <row r="917" spans="1:36" x14ac:dyDescent="0.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_xlfn.IFS(HrData[[#This Row],[YearsAtCompany]]&lt;=2,"0-2 yrs",HrData[[#This Row],[YearsAtCompany]]&lt;=5,"3-5 yrs",TRUE,"5+ yrs")</f>
        <v>0-2 yrs</v>
      </c>
    </row>
    <row r="918" spans="1:36" x14ac:dyDescent="0.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_xlfn.IFS(HrData[[#This Row],[YearsAtCompany]]&lt;=2,"0-2 yrs",HrData[[#This Row],[YearsAtCompany]]&lt;=5,"3-5 yrs",TRUE,"5+ yrs")</f>
        <v>5+ yrs</v>
      </c>
    </row>
    <row r="919" spans="1:36" x14ac:dyDescent="0.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cm="1">
        <f t="array" ref="AJ919">_xlfn.IFS(HrData[[#This Row],[YearsAtCompany]]&lt;=2,"0-2 yrs",HrData[[#This Row],[YearsAtCompany]]&lt;=5,"3-5 yrs",TRUE,"5+ yrs")</f>
        <v>3-5 yrs</v>
      </c>
    </row>
    <row r="920" spans="1:36" x14ac:dyDescent="0.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_xlfn.IFS(HrData[[#This Row],[YearsAtCompany]]&lt;=2,"0-2 yrs",HrData[[#This Row],[YearsAtCompany]]&lt;=5,"3-5 yrs",TRUE,"5+ yrs")</f>
        <v>5+ yrs</v>
      </c>
    </row>
    <row r="921" spans="1:36" x14ac:dyDescent="0.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_xlfn.IFS(HrData[[#This Row],[YearsAtCompany]]&lt;=2,"0-2 yrs",HrData[[#This Row],[YearsAtCompany]]&lt;=5,"3-5 yrs",TRUE,"5+ yrs")</f>
        <v>5+ yrs</v>
      </c>
    </row>
    <row r="922" spans="1:36" x14ac:dyDescent="0.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_xlfn.IFS(HrData[[#This Row],[YearsAtCompany]]&lt;=2,"0-2 yrs",HrData[[#This Row],[YearsAtCompany]]&lt;=5,"3-5 yrs",TRUE,"5+ yrs")</f>
        <v>5+ yrs</v>
      </c>
    </row>
    <row r="923" spans="1:36" x14ac:dyDescent="0.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cm="1">
        <f t="array" ref="AJ923">_xlfn.IFS(HrData[[#This Row],[YearsAtCompany]]&lt;=2,"0-2 yrs",HrData[[#This Row],[YearsAtCompany]]&lt;=5,"3-5 yrs",TRUE,"5+ yrs")</f>
        <v>3-5 yrs</v>
      </c>
    </row>
    <row r="924" spans="1:36" x14ac:dyDescent="0.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_xlfn.IFS(HrData[[#This Row],[YearsAtCompany]]&lt;=2,"0-2 yrs",HrData[[#This Row],[YearsAtCompany]]&lt;=5,"3-5 yrs",TRUE,"5+ yrs")</f>
        <v>5+ yrs</v>
      </c>
    </row>
    <row r="925" spans="1:36" x14ac:dyDescent="0.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_xlfn.IFS(HrData[[#This Row],[YearsAtCompany]]&lt;=2,"0-2 yrs",HrData[[#This Row],[YearsAtCompany]]&lt;=5,"3-5 yrs",TRUE,"5+ yrs")</f>
        <v>5+ yrs</v>
      </c>
    </row>
    <row r="926" spans="1:36" x14ac:dyDescent="0.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cm="1">
        <f t="array" ref="AJ926">_xlfn.IFS(HrData[[#This Row],[YearsAtCompany]]&lt;=2,"0-2 yrs",HrData[[#This Row],[YearsAtCompany]]&lt;=5,"3-5 yrs",TRUE,"5+ yrs")</f>
        <v>3-5 yrs</v>
      </c>
    </row>
    <row r="927" spans="1:36" x14ac:dyDescent="0.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_xlfn.IFS(HrData[[#This Row],[YearsAtCompany]]&lt;=2,"0-2 yrs",HrData[[#This Row],[YearsAtCompany]]&lt;=5,"3-5 yrs",TRUE,"5+ yrs")</f>
        <v>0-2 yrs</v>
      </c>
    </row>
    <row r="928" spans="1:36" x14ac:dyDescent="0.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_xlfn.IFS(HrData[[#This Row],[YearsAtCompany]]&lt;=2,"0-2 yrs",HrData[[#This Row],[YearsAtCompany]]&lt;=5,"3-5 yrs",TRUE,"5+ yrs")</f>
        <v>5+ yrs</v>
      </c>
    </row>
    <row r="929" spans="1:36" x14ac:dyDescent="0.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_xlfn.IFS(HrData[[#This Row],[YearsAtCompany]]&lt;=2,"0-2 yrs",HrData[[#This Row],[YearsAtCompany]]&lt;=5,"3-5 yrs",TRUE,"5+ yrs")</f>
        <v>5+ yrs</v>
      </c>
    </row>
    <row r="930" spans="1:36" x14ac:dyDescent="0.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_xlfn.IFS(HrData[[#This Row],[YearsAtCompany]]&lt;=2,"0-2 yrs",HrData[[#This Row],[YearsAtCompany]]&lt;=5,"3-5 yrs",TRUE,"5+ yrs")</f>
        <v>5+ yrs</v>
      </c>
    </row>
    <row r="931" spans="1:36" x14ac:dyDescent="0.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_xlfn.IFS(HrData[[#This Row],[YearsAtCompany]]&lt;=2,"0-2 yrs",HrData[[#This Row],[YearsAtCompany]]&lt;=5,"3-5 yrs",TRUE,"5+ yrs")</f>
        <v>0-2 yrs</v>
      </c>
    </row>
    <row r="932" spans="1:36" x14ac:dyDescent="0.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_xlfn.IFS(HrData[[#This Row],[YearsAtCompany]]&lt;=2,"0-2 yrs",HrData[[#This Row],[YearsAtCompany]]&lt;=5,"3-5 yrs",TRUE,"5+ yrs")</f>
        <v>5+ yrs</v>
      </c>
    </row>
    <row r="933" spans="1:36" x14ac:dyDescent="0.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_xlfn.IFS(HrData[[#This Row],[YearsAtCompany]]&lt;=2,"0-2 yrs",HrData[[#This Row],[YearsAtCompany]]&lt;=5,"3-5 yrs",TRUE,"5+ yrs")</f>
        <v>5+ yrs</v>
      </c>
    </row>
    <row r="934" spans="1:36" x14ac:dyDescent="0.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_xlfn.IFS(HrData[[#This Row],[YearsAtCompany]]&lt;=2,"0-2 yrs",HrData[[#This Row],[YearsAtCompany]]&lt;=5,"3-5 yrs",TRUE,"5+ yrs")</f>
        <v>5+ yrs</v>
      </c>
    </row>
    <row r="935" spans="1:36" x14ac:dyDescent="0.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cm="1">
        <f t="array" ref="AJ935">_xlfn.IFS(HrData[[#This Row],[YearsAtCompany]]&lt;=2,"0-2 yrs",HrData[[#This Row],[YearsAtCompany]]&lt;=5,"3-5 yrs",TRUE,"5+ yrs")</f>
        <v>3-5 yrs</v>
      </c>
    </row>
    <row r="936" spans="1:36" x14ac:dyDescent="0.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_xlfn.IFS(HrData[[#This Row],[YearsAtCompany]]&lt;=2,"0-2 yrs",HrData[[#This Row],[YearsAtCompany]]&lt;=5,"3-5 yrs",TRUE,"5+ yrs")</f>
        <v>0-2 yrs</v>
      </c>
    </row>
    <row r="937" spans="1:36" x14ac:dyDescent="0.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_xlfn.IFS(HrData[[#This Row],[YearsAtCompany]]&lt;=2,"0-2 yrs",HrData[[#This Row],[YearsAtCompany]]&lt;=5,"3-5 yrs",TRUE,"5+ yrs")</f>
        <v>5+ yrs</v>
      </c>
    </row>
    <row r="938" spans="1:36" x14ac:dyDescent="0.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_xlfn.IFS(HrData[[#This Row],[YearsAtCompany]]&lt;=2,"0-2 yrs",HrData[[#This Row],[YearsAtCompany]]&lt;=5,"3-5 yrs",TRUE,"5+ yrs")</f>
        <v>0-2 yrs</v>
      </c>
    </row>
    <row r="939" spans="1:36" x14ac:dyDescent="0.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_xlfn.IFS(HrData[[#This Row],[YearsAtCompany]]&lt;=2,"0-2 yrs",HrData[[#This Row],[YearsAtCompany]]&lt;=5,"3-5 yrs",TRUE,"5+ yrs")</f>
        <v>5+ yrs</v>
      </c>
    </row>
    <row r="940" spans="1:36" x14ac:dyDescent="0.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_xlfn.IFS(HrData[[#This Row],[YearsAtCompany]]&lt;=2,"0-2 yrs",HrData[[#This Row],[YearsAtCompany]]&lt;=5,"3-5 yrs",TRUE,"5+ yrs")</f>
        <v>0-2 yrs</v>
      </c>
    </row>
    <row r="941" spans="1:36" x14ac:dyDescent="0.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_xlfn.IFS(HrData[[#This Row],[YearsAtCompany]]&lt;=2,"0-2 yrs",HrData[[#This Row],[YearsAtCompany]]&lt;=5,"3-5 yrs",TRUE,"5+ yrs")</f>
        <v>5+ yrs</v>
      </c>
    </row>
    <row r="942" spans="1:36" x14ac:dyDescent="0.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_xlfn.IFS(HrData[[#This Row],[YearsAtCompany]]&lt;=2,"0-2 yrs",HrData[[#This Row],[YearsAtCompany]]&lt;=5,"3-5 yrs",TRUE,"5+ yrs")</f>
        <v>3-5 yrs</v>
      </c>
    </row>
    <row r="943" spans="1:36" x14ac:dyDescent="0.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_xlfn.IFS(HrData[[#This Row],[YearsAtCompany]]&lt;=2,"0-2 yrs",HrData[[#This Row],[YearsAtCompany]]&lt;=5,"3-5 yrs",TRUE,"5+ yrs")</f>
        <v>5+ yrs</v>
      </c>
    </row>
    <row r="944" spans="1:36" x14ac:dyDescent="0.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_xlfn.IFS(HrData[[#This Row],[YearsAtCompany]]&lt;=2,"0-2 yrs",HrData[[#This Row],[YearsAtCompany]]&lt;=5,"3-5 yrs",TRUE,"5+ yrs")</f>
        <v>5+ yrs</v>
      </c>
    </row>
    <row r="945" spans="1:36" x14ac:dyDescent="0.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_xlfn.IFS(HrData[[#This Row],[YearsAtCompany]]&lt;=2,"0-2 yrs",HrData[[#This Row],[YearsAtCompany]]&lt;=5,"3-5 yrs",TRUE,"5+ yrs")</f>
        <v>5+ yrs</v>
      </c>
    </row>
    <row r="946" spans="1:36" x14ac:dyDescent="0.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_xlfn.IFS(HrData[[#This Row],[YearsAtCompany]]&lt;=2,"0-2 yrs",HrData[[#This Row],[YearsAtCompany]]&lt;=5,"3-5 yrs",TRUE,"5+ yrs")</f>
        <v>5+ yrs</v>
      </c>
    </row>
    <row r="947" spans="1:36" x14ac:dyDescent="0.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_xlfn.IFS(HrData[[#This Row],[YearsAtCompany]]&lt;=2,"0-2 yrs",HrData[[#This Row],[YearsAtCompany]]&lt;=5,"3-5 yrs",TRUE,"5+ yrs")</f>
        <v>3-5 yrs</v>
      </c>
    </row>
    <row r="948" spans="1:36" x14ac:dyDescent="0.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_xlfn.IFS(HrData[[#This Row],[YearsAtCompany]]&lt;=2,"0-2 yrs",HrData[[#This Row],[YearsAtCompany]]&lt;=5,"3-5 yrs",TRUE,"5+ yrs")</f>
        <v>3-5 yrs</v>
      </c>
    </row>
    <row r="949" spans="1:36" x14ac:dyDescent="0.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_xlfn.IFS(HrData[[#This Row],[YearsAtCompany]]&lt;=2,"0-2 yrs",HrData[[#This Row],[YearsAtCompany]]&lt;=5,"3-5 yrs",TRUE,"5+ yrs")</f>
        <v>5+ yrs</v>
      </c>
    </row>
    <row r="950" spans="1:36" x14ac:dyDescent="0.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_xlfn.IFS(HrData[[#This Row],[YearsAtCompany]]&lt;=2,"0-2 yrs",HrData[[#This Row],[YearsAtCompany]]&lt;=5,"3-5 yrs",TRUE,"5+ yrs")</f>
        <v>5+ yrs</v>
      </c>
    </row>
    <row r="951" spans="1:36" x14ac:dyDescent="0.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_xlfn.IFS(HrData[[#This Row],[YearsAtCompany]]&lt;=2,"0-2 yrs",HrData[[#This Row],[YearsAtCompany]]&lt;=5,"3-5 yrs",TRUE,"5+ yrs")</f>
        <v>5+ yrs</v>
      </c>
    </row>
    <row r="952" spans="1:36" x14ac:dyDescent="0.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_xlfn.IFS(HrData[[#This Row],[YearsAtCompany]]&lt;=2,"0-2 yrs",HrData[[#This Row],[YearsAtCompany]]&lt;=5,"3-5 yrs",TRUE,"5+ yrs")</f>
        <v>5+ yrs</v>
      </c>
    </row>
    <row r="953" spans="1:36" x14ac:dyDescent="0.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_xlfn.IFS(HrData[[#This Row],[YearsAtCompany]]&lt;=2,"0-2 yrs",HrData[[#This Row],[YearsAtCompany]]&lt;=5,"3-5 yrs",TRUE,"5+ yrs")</f>
        <v>5+ yrs</v>
      </c>
    </row>
    <row r="954" spans="1:36" x14ac:dyDescent="0.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cm="1">
        <f t="array" ref="AJ954">_xlfn.IFS(HrData[[#This Row],[YearsAtCompany]]&lt;=2,"0-2 yrs",HrData[[#This Row],[YearsAtCompany]]&lt;=5,"3-5 yrs",TRUE,"5+ yrs")</f>
        <v>3-5 yrs</v>
      </c>
    </row>
    <row r="955" spans="1:36" x14ac:dyDescent="0.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_xlfn.IFS(HrData[[#This Row],[YearsAtCompany]]&lt;=2,"0-2 yrs",HrData[[#This Row],[YearsAtCompany]]&lt;=5,"3-5 yrs",TRUE,"5+ yrs")</f>
        <v>3-5 yrs</v>
      </c>
    </row>
    <row r="956" spans="1:36" x14ac:dyDescent="0.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_xlfn.IFS(HrData[[#This Row],[YearsAtCompany]]&lt;=2,"0-2 yrs",HrData[[#This Row],[YearsAtCompany]]&lt;=5,"3-5 yrs",TRUE,"5+ yrs")</f>
        <v>5+ yrs</v>
      </c>
    </row>
    <row r="957" spans="1:36" x14ac:dyDescent="0.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_xlfn.IFS(HrData[[#This Row],[YearsAtCompany]]&lt;=2,"0-2 yrs",HrData[[#This Row],[YearsAtCompany]]&lt;=5,"3-5 yrs",TRUE,"5+ yrs")</f>
        <v>5+ yrs</v>
      </c>
    </row>
    <row r="958" spans="1:36" x14ac:dyDescent="0.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_xlfn.IFS(HrData[[#This Row],[YearsAtCompany]]&lt;=2,"0-2 yrs",HrData[[#This Row],[YearsAtCompany]]&lt;=5,"3-5 yrs",TRUE,"5+ yrs")</f>
        <v>5+ yrs</v>
      </c>
    </row>
    <row r="959" spans="1:36" x14ac:dyDescent="0.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cm="1">
        <f t="array" ref="AJ959">_xlfn.IFS(HrData[[#This Row],[YearsAtCompany]]&lt;=2,"0-2 yrs",HrData[[#This Row],[YearsAtCompany]]&lt;=5,"3-5 yrs",TRUE,"5+ yrs")</f>
        <v>3-5 yrs</v>
      </c>
    </row>
    <row r="960" spans="1:36" x14ac:dyDescent="0.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_xlfn.IFS(HrData[[#This Row],[YearsAtCompany]]&lt;=2,"0-2 yrs",HrData[[#This Row],[YearsAtCompany]]&lt;=5,"3-5 yrs",TRUE,"5+ yrs")</f>
        <v>5+ yrs</v>
      </c>
    </row>
    <row r="961" spans="1:36" x14ac:dyDescent="0.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_xlfn.IFS(HrData[[#This Row],[YearsAtCompany]]&lt;=2,"0-2 yrs",HrData[[#This Row],[YearsAtCompany]]&lt;=5,"3-5 yrs",TRUE,"5+ yrs")</f>
        <v>5+ yrs</v>
      </c>
    </row>
    <row r="962" spans="1:36" x14ac:dyDescent="0.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_xlfn.IFS(HrData[[#This Row],[YearsAtCompany]]&lt;=2,"0-2 yrs",HrData[[#This Row],[YearsAtCompany]]&lt;=5,"3-5 yrs",TRUE,"5+ yrs")</f>
        <v>5+ yrs</v>
      </c>
    </row>
    <row r="963" spans="1:36" x14ac:dyDescent="0.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cm="1">
        <f t="array" ref="AJ963">_xlfn.IFS(HrData[[#This Row],[YearsAtCompany]]&lt;=2,"0-2 yrs",HrData[[#This Row],[YearsAtCompany]]&lt;=5,"3-5 yrs",TRUE,"5+ yrs")</f>
        <v>5+ yrs</v>
      </c>
    </row>
    <row r="964" spans="1:36" x14ac:dyDescent="0.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_xlfn.IFS(HrData[[#This Row],[YearsAtCompany]]&lt;=2,"0-2 yrs",HrData[[#This Row],[YearsAtCompany]]&lt;=5,"3-5 yrs",TRUE,"5+ yrs")</f>
        <v>5+ yrs</v>
      </c>
    </row>
    <row r="965" spans="1:36" x14ac:dyDescent="0.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_xlfn.IFS(HrData[[#This Row],[YearsAtCompany]]&lt;=2,"0-2 yrs",HrData[[#This Row],[YearsAtCompany]]&lt;=5,"3-5 yrs",TRUE,"5+ yrs")</f>
        <v>5+ yrs</v>
      </c>
    </row>
    <row r="966" spans="1:36" x14ac:dyDescent="0.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_xlfn.IFS(HrData[[#This Row],[YearsAtCompany]]&lt;=2,"0-2 yrs",HrData[[#This Row],[YearsAtCompany]]&lt;=5,"3-5 yrs",TRUE,"5+ yrs")</f>
        <v>5+ yrs</v>
      </c>
    </row>
    <row r="967" spans="1:36" x14ac:dyDescent="0.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cm="1">
        <f t="array" ref="AJ967">_xlfn.IFS(HrData[[#This Row],[YearsAtCompany]]&lt;=2,"0-2 yrs",HrData[[#This Row],[YearsAtCompany]]&lt;=5,"3-5 yrs",TRUE,"5+ yrs")</f>
        <v>3-5 yrs</v>
      </c>
    </row>
    <row r="968" spans="1:36" x14ac:dyDescent="0.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_xlfn.IFS(HrData[[#This Row],[YearsAtCompany]]&lt;=2,"0-2 yrs",HrData[[#This Row],[YearsAtCompany]]&lt;=5,"3-5 yrs",TRUE,"5+ yrs")</f>
        <v>5+ yrs</v>
      </c>
    </row>
    <row r="969" spans="1:36" x14ac:dyDescent="0.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cm="1">
        <f t="array" ref="AJ969">_xlfn.IFS(HrData[[#This Row],[YearsAtCompany]]&lt;=2,"0-2 yrs",HrData[[#This Row],[YearsAtCompany]]&lt;=5,"3-5 yrs",TRUE,"5+ yrs")</f>
        <v>3-5 yrs</v>
      </c>
    </row>
    <row r="970" spans="1:36" x14ac:dyDescent="0.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_xlfn.IFS(HrData[[#This Row],[YearsAtCompany]]&lt;=2,"0-2 yrs",HrData[[#This Row],[YearsAtCompany]]&lt;=5,"3-5 yrs",TRUE,"5+ yrs")</f>
        <v>5+ yrs</v>
      </c>
    </row>
    <row r="971" spans="1:36" x14ac:dyDescent="0.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_xlfn.IFS(HrData[[#This Row],[YearsAtCompany]]&lt;=2,"0-2 yrs",HrData[[#This Row],[YearsAtCompany]]&lt;=5,"3-5 yrs",TRUE,"5+ yrs")</f>
        <v>5+ yrs</v>
      </c>
    </row>
    <row r="972" spans="1:36" x14ac:dyDescent="0.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_xlfn.IFS(HrData[[#This Row],[YearsAtCompany]]&lt;=2,"0-2 yrs",HrData[[#This Row],[YearsAtCompany]]&lt;=5,"3-5 yrs",TRUE,"5+ yrs")</f>
        <v>0-2 yrs</v>
      </c>
    </row>
    <row r="973" spans="1:36" x14ac:dyDescent="0.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_xlfn.IFS(HrData[[#This Row],[YearsAtCompany]]&lt;=2,"0-2 yrs",HrData[[#This Row],[YearsAtCompany]]&lt;=5,"3-5 yrs",TRUE,"5+ yrs")</f>
        <v>3-5 yrs</v>
      </c>
    </row>
    <row r="974" spans="1:36" x14ac:dyDescent="0.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_xlfn.IFS(HrData[[#This Row],[YearsAtCompany]]&lt;=2,"0-2 yrs",HrData[[#This Row],[YearsAtCompany]]&lt;=5,"3-5 yrs",TRUE,"5+ yrs")</f>
        <v>0-2 yrs</v>
      </c>
    </row>
    <row r="975" spans="1:36" x14ac:dyDescent="0.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_xlfn.IFS(HrData[[#This Row],[YearsAtCompany]]&lt;=2,"0-2 yrs",HrData[[#This Row],[YearsAtCompany]]&lt;=5,"3-5 yrs",TRUE,"5+ yrs")</f>
        <v>5+ yrs</v>
      </c>
    </row>
    <row r="976" spans="1:36" x14ac:dyDescent="0.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_xlfn.IFS(HrData[[#This Row],[YearsAtCompany]]&lt;=2,"0-2 yrs",HrData[[#This Row],[YearsAtCompany]]&lt;=5,"3-5 yrs",TRUE,"5+ yrs")</f>
        <v>5+ yrs</v>
      </c>
    </row>
    <row r="977" spans="1:36" x14ac:dyDescent="0.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_xlfn.IFS(HrData[[#This Row],[YearsAtCompany]]&lt;=2,"0-2 yrs",HrData[[#This Row],[YearsAtCompany]]&lt;=5,"3-5 yrs",TRUE,"5+ yrs")</f>
        <v>5+ yrs</v>
      </c>
    </row>
    <row r="978" spans="1:36" x14ac:dyDescent="0.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_xlfn.IFS(HrData[[#This Row],[YearsAtCompany]]&lt;=2,"0-2 yrs",HrData[[#This Row],[YearsAtCompany]]&lt;=5,"3-5 yrs",TRUE,"5+ yrs")</f>
        <v>5+ yrs</v>
      </c>
    </row>
    <row r="979" spans="1:36" x14ac:dyDescent="0.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_xlfn.IFS(HrData[[#This Row],[YearsAtCompany]]&lt;=2,"0-2 yrs",HrData[[#This Row],[YearsAtCompany]]&lt;=5,"3-5 yrs",TRUE,"5+ yrs")</f>
        <v>3-5 yrs</v>
      </c>
    </row>
    <row r="980" spans="1:36" x14ac:dyDescent="0.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_xlfn.IFS(HrData[[#This Row],[YearsAtCompany]]&lt;=2,"0-2 yrs",HrData[[#This Row],[YearsAtCompany]]&lt;=5,"3-5 yrs",TRUE,"5+ yrs")</f>
        <v>5+ yrs</v>
      </c>
    </row>
    <row r="981" spans="1:36" x14ac:dyDescent="0.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_xlfn.IFS(HrData[[#This Row],[YearsAtCompany]]&lt;=2,"0-2 yrs",HrData[[#This Row],[YearsAtCompany]]&lt;=5,"3-5 yrs",TRUE,"5+ yrs")</f>
        <v>5+ yrs</v>
      </c>
    </row>
    <row r="982" spans="1:36" x14ac:dyDescent="0.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_xlfn.IFS(HrData[[#This Row],[YearsAtCompany]]&lt;=2,"0-2 yrs",HrData[[#This Row],[YearsAtCompany]]&lt;=5,"3-5 yrs",TRUE,"5+ yrs")</f>
        <v>0-2 yrs</v>
      </c>
    </row>
    <row r="983" spans="1:36" x14ac:dyDescent="0.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_xlfn.IFS(HrData[[#This Row],[YearsAtCompany]]&lt;=2,"0-2 yrs",HrData[[#This Row],[YearsAtCompany]]&lt;=5,"3-5 yrs",TRUE,"5+ yrs")</f>
        <v>3-5 yrs</v>
      </c>
    </row>
    <row r="984" spans="1:36" x14ac:dyDescent="0.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_xlfn.IFS(HrData[[#This Row],[YearsAtCompany]]&lt;=2,"0-2 yrs",HrData[[#This Row],[YearsAtCompany]]&lt;=5,"3-5 yrs",TRUE,"5+ yrs")</f>
        <v>3-5 yrs</v>
      </c>
    </row>
    <row r="985" spans="1:36" x14ac:dyDescent="0.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_xlfn.IFS(HrData[[#This Row],[YearsAtCompany]]&lt;=2,"0-2 yrs",HrData[[#This Row],[YearsAtCompany]]&lt;=5,"3-5 yrs",TRUE,"5+ yrs")</f>
        <v>5+ yrs</v>
      </c>
    </row>
    <row r="986" spans="1:36" x14ac:dyDescent="0.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_xlfn.IFS(HrData[[#This Row],[YearsAtCompany]]&lt;=2,"0-2 yrs",HrData[[#This Row],[YearsAtCompany]]&lt;=5,"3-5 yrs",TRUE,"5+ yrs")</f>
        <v>3-5 yrs</v>
      </c>
    </row>
    <row r="987" spans="1:36" x14ac:dyDescent="0.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_xlfn.IFS(HrData[[#This Row],[YearsAtCompany]]&lt;=2,"0-2 yrs",HrData[[#This Row],[YearsAtCompany]]&lt;=5,"3-5 yrs",TRUE,"5+ yrs")</f>
        <v>5+ yrs</v>
      </c>
    </row>
    <row r="988" spans="1:36" x14ac:dyDescent="0.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cm="1">
        <f t="array" ref="AJ988">_xlfn.IFS(HrData[[#This Row],[YearsAtCompany]]&lt;=2,"0-2 yrs",HrData[[#This Row],[YearsAtCompany]]&lt;=5,"3-5 yrs",TRUE,"5+ yrs")</f>
        <v>3-5 yrs</v>
      </c>
    </row>
    <row r="989" spans="1:36" x14ac:dyDescent="0.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_xlfn.IFS(HrData[[#This Row],[YearsAtCompany]]&lt;=2,"0-2 yrs",HrData[[#This Row],[YearsAtCompany]]&lt;=5,"3-5 yrs",TRUE,"5+ yrs")</f>
        <v>3-5 yrs</v>
      </c>
    </row>
    <row r="990" spans="1:36" x14ac:dyDescent="0.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_xlfn.IFS(HrData[[#This Row],[YearsAtCompany]]&lt;=2,"0-2 yrs",HrData[[#This Row],[YearsAtCompany]]&lt;=5,"3-5 yrs",TRUE,"5+ yrs")</f>
        <v>5+ yrs</v>
      </c>
    </row>
    <row r="991" spans="1:36" x14ac:dyDescent="0.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cm="1">
        <f t="array" ref="AJ991">_xlfn.IFS(HrData[[#This Row],[YearsAtCompany]]&lt;=2,"0-2 yrs",HrData[[#This Row],[YearsAtCompany]]&lt;=5,"3-5 yrs",TRUE,"5+ yrs")</f>
        <v>5+ yrs</v>
      </c>
    </row>
    <row r="992" spans="1:36" x14ac:dyDescent="0.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_xlfn.IFS(HrData[[#This Row],[YearsAtCompany]]&lt;=2,"0-2 yrs",HrData[[#This Row],[YearsAtCompany]]&lt;=5,"3-5 yrs",TRUE,"5+ yrs")</f>
        <v>3-5 yrs</v>
      </c>
    </row>
    <row r="993" spans="1:36" x14ac:dyDescent="0.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_xlfn.IFS(HrData[[#This Row],[YearsAtCompany]]&lt;=2,"0-2 yrs",HrData[[#This Row],[YearsAtCompany]]&lt;=5,"3-5 yrs",TRUE,"5+ yrs")</f>
        <v>3-5 yrs</v>
      </c>
    </row>
    <row r="994" spans="1:36" x14ac:dyDescent="0.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_xlfn.IFS(HrData[[#This Row],[YearsAtCompany]]&lt;=2,"0-2 yrs",HrData[[#This Row],[YearsAtCompany]]&lt;=5,"3-5 yrs",TRUE,"5+ yrs")</f>
        <v>5+ yrs</v>
      </c>
    </row>
    <row r="995" spans="1:36" x14ac:dyDescent="0.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_xlfn.IFS(HrData[[#This Row],[YearsAtCompany]]&lt;=2,"0-2 yrs",HrData[[#This Row],[YearsAtCompany]]&lt;=5,"3-5 yrs",TRUE,"5+ yrs")</f>
        <v>3-5 yrs</v>
      </c>
    </row>
    <row r="996" spans="1:36" x14ac:dyDescent="0.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_xlfn.IFS(HrData[[#This Row],[YearsAtCompany]]&lt;=2,"0-2 yrs",HrData[[#This Row],[YearsAtCompany]]&lt;=5,"3-5 yrs",TRUE,"5+ yrs")</f>
        <v>3-5 yrs</v>
      </c>
    </row>
    <row r="997" spans="1:36" x14ac:dyDescent="0.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_xlfn.IFS(HrData[[#This Row],[YearsAtCompany]]&lt;=2,"0-2 yrs",HrData[[#This Row],[YearsAtCompany]]&lt;=5,"3-5 yrs",TRUE,"5+ yrs")</f>
        <v>5+ yrs</v>
      </c>
    </row>
    <row r="998" spans="1:36" x14ac:dyDescent="0.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cm="1">
        <f t="array" ref="AJ998">_xlfn.IFS(HrData[[#This Row],[YearsAtCompany]]&lt;=2,"0-2 yrs",HrData[[#This Row],[YearsAtCompany]]&lt;=5,"3-5 yrs",TRUE,"5+ yrs")</f>
        <v>5+ yrs</v>
      </c>
    </row>
    <row r="999" spans="1:36" x14ac:dyDescent="0.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_xlfn.IFS(HrData[[#This Row],[YearsAtCompany]]&lt;=2,"0-2 yrs",HrData[[#This Row],[YearsAtCompany]]&lt;=5,"3-5 yrs",TRUE,"5+ yrs")</f>
        <v>5+ yrs</v>
      </c>
    </row>
    <row r="1000" spans="1:36" x14ac:dyDescent="0.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_xlfn.IFS(HrData[[#This Row],[YearsAtCompany]]&lt;=2,"0-2 yrs",HrData[[#This Row],[YearsAtCompany]]&lt;=5,"3-5 yrs",TRUE,"5+ yrs")</f>
        <v>3-5 yrs</v>
      </c>
    </row>
    <row r="1001" spans="1:36" x14ac:dyDescent="0.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_xlfn.IFS(HrData[[#This Row],[YearsAtCompany]]&lt;=2,"0-2 yrs",HrData[[#This Row],[YearsAtCompany]]&lt;=5,"3-5 yrs",TRUE,"5+ yrs")</f>
        <v>5+ yrs</v>
      </c>
    </row>
    <row r="1002" spans="1:36" x14ac:dyDescent="0.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_xlfn.IFS(HrData[[#This Row],[YearsAtCompany]]&lt;=2,"0-2 yrs",HrData[[#This Row],[YearsAtCompany]]&lt;=5,"3-5 yrs",TRUE,"5+ yrs")</f>
        <v>3-5 yrs</v>
      </c>
    </row>
    <row r="1003" spans="1:36" x14ac:dyDescent="0.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_xlfn.IFS(HrData[[#This Row],[YearsAtCompany]]&lt;=2,"0-2 yrs",HrData[[#This Row],[YearsAtCompany]]&lt;=5,"3-5 yrs",TRUE,"5+ yrs")</f>
        <v>3-5 yrs</v>
      </c>
    </row>
    <row r="1004" spans="1:36" x14ac:dyDescent="0.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_xlfn.IFS(HrData[[#This Row],[YearsAtCompany]]&lt;=2,"0-2 yrs",HrData[[#This Row],[YearsAtCompany]]&lt;=5,"3-5 yrs",TRUE,"5+ yrs")</f>
        <v>0-2 yrs</v>
      </c>
    </row>
    <row r="1005" spans="1:36" x14ac:dyDescent="0.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_xlfn.IFS(HrData[[#This Row],[YearsAtCompany]]&lt;=2,"0-2 yrs",HrData[[#This Row],[YearsAtCompany]]&lt;=5,"3-5 yrs",TRUE,"5+ yrs")</f>
        <v>3-5 yrs</v>
      </c>
    </row>
    <row r="1006" spans="1:36" x14ac:dyDescent="0.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_xlfn.IFS(HrData[[#This Row],[YearsAtCompany]]&lt;=2,"0-2 yrs",HrData[[#This Row],[YearsAtCompany]]&lt;=5,"3-5 yrs",TRUE,"5+ yrs")</f>
        <v>5+ yrs</v>
      </c>
    </row>
    <row r="1007" spans="1:36" x14ac:dyDescent="0.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_xlfn.IFS(HrData[[#This Row],[YearsAtCompany]]&lt;=2,"0-2 yrs",HrData[[#This Row],[YearsAtCompany]]&lt;=5,"3-5 yrs",TRUE,"5+ yrs")</f>
        <v>5+ yrs</v>
      </c>
    </row>
    <row r="1008" spans="1:36" x14ac:dyDescent="0.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_xlfn.IFS(HrData[[#This Row],[YearsAtCompany]]&lt;=2,"0-2 yrs",HrData[[#This Row],[YearsAtCompany]]&lt;=5,"3-5 yrs",TRUE,"5+ yrs")</f>
        <v>3-5 yrs</v>
      </c>
    </row>
    <row r="1009" spans="1:36" x14ac:dyDescent="0.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_xlfn.IFS(HrData[[#This Row],[YearsAtCompany]]&lt;=2,"0-2 yrs",HrData[[#This Row],[YearsAtCompany]]&lt;=5,"3-5 yrs",TRUE,"5+ yrs")</f>
        <v>5+ yrs</v>
      </c>
    </row>
    <row r="1010" spans="1:36" x14ac:dyDescent="0.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_xlfn.IFS(HrData[[#This Row],[YearsAtCompany]]&lt;=2,"0-2 yrs",HrData[[#This Row],[YearsAtCompany]]&lt;=5,"3-5 yrs",TRUE,"5+ yrs")</f>
        <v>5+ yrs</v>
      </c>
    </row>
    <row r="1011" spans="1:36" x14ac:dyDescent="0.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_xlfn.IFS(HrData[[#This Row],[YearsAtCompany]]&lt;=2,"0-2 yrs",HrData[[#This Row],[YearsAtCompany]]&lt;=5,"3-5 yrs",TRUE,"5+ yrs")</f>
        <v>5+ yrs</v>
      </c>
    </row>
    <row r="1012" spans="1:36" x14ac:dyDescent="0.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_xlfn.IFS(HrData[[#This Row],[YearsAtCompany]]&lt;=2,"0-2 yrs",HrData[[#This Row],[YearsAtCompany]]&lt;=5,"3-5 yrs",TRUE,"5+ yrs")</f>
        <v>5+ yrs</v>
      </c>
    </row>
    <row r="1013" spans="1:36" x14ac:dyDescent="0.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_xlfn.IFS(HrData[[#This Row],[YearsAtCompany]]&lt;=2,"0-2 yrs",HrData[[#This Row],[YearsAtCompany]]&lt;=5,"3-5 yrs",TRUE,"5+ yrs")</f>
        <v>3-5 yrs</v>
      </c>
    </row>
    <row r="1014" spans="1:36" x14ac:dyDescent="0.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_xlfn.IFS(HrData[[#This Row],[YearsAtCompany]]&lt;=2,"0-2 yrs",HrData[[#This Row],[YearsAtCompany]]&lt;=5,"3-5 yrs",TRUE,"5+ yrs")</f>
        <v>0-2 yrs</v>
      </c>
    </row>
    <row r="1015" spans="1:36" x14ac:dyDescent="0.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_xlfn.IFS(HrData[[#This Row],[YearsAtCompany]]&lt;=2,"0-2 yrs",HrData[[#This Row],[YearsAtCompany]]&lt;=5,"3-5 yrs",TRUE,"5+ yrs")</f>
        <v>3-5 yrs</v>
      </c>
    </row>
    <row r="1016" spans="1:36" x14ac:dyDescent="0.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_xlfn.IFS(HrData[[#This Row],[YearsAtCompany]]&lt;=2,"0-2 yrs",HrData[[#This Row],[YearsAtCompany]]&lt;=5,"3-5 yrs",TRUE,"5+ yrs")</f>
        <v>3-5 yrs</v>
      </c>
    </row>
    <row r="1017" spans="1:36" x14ac:dyDescent="0.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_xlfn.IFS(HrData[[#This Row],[YearsAtCompany]]&lt;=2,"0-2 yrs",HrData[[#This Row],[YearsAtCompany]]&lt;=5,"3-5 yrs",TRUE,"5+ yrs")</f>
        <v>3-5 yrs</v>
      </c>
    </row>
    <row r="1018" spans="1:36" x14ac:dyDescent="0.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_xlfn.IFS(HrData[[#This Row],[YearsAtCompany]]&lt;=2,"0-2 yrs",HrData[[#This Row],[YearsAtCompany]]&lt;=5,"3-5 yrs",TRUE,"5+ yrs")</f>
        <v>0-2 yrs</v>
      </c>
    </row>
    <row r="1019" spans="1:36" x14ac:dyDescent="0.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_xlfn.IFS(HrData[[#This Row],[YearsAtCompany]]&lt;=2,"0-2 yrs",HrData[[#This Row],[YearsAtCompany]]&lt;=5,"3-5 yrs",TRUE,"5+ yrs")</f>
        <v>3-5 yrs</v>
      </c>
    </row>
    <row r="1020" spans="1:36" x14ac:dyDescent="0.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_xlfn.IFS(HrData[[#This Row],[YearsAtCompany]]&lt;=2,"0-2 yrs",HrData[[#This Row],[YearsAtCompany]]&lt;=5,"3-5 yrs",TRUE,"5+ yrs")</f>
        <v>5+ yrs</v>
      </c>
    </row>
    <row r="1021" spans="1:36" x14ac:dyDescent="0.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_xlfn.IFS(HrData[[#This Row],[YearsAtCompany]]&lt;=2,"0-2 yrs",HrData[[#This Row],[YearsAtCompany]]&lt;=5,"3-5 yrs",TRUE,"5+ yrs")</f>
        <v>3-5 yrs</v>
      </c>
    </row>
    <row r="1022" spans="1:36" x14ac:dyDescent="0.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_xlfn.IFS(HrData[[#This Row],[YearsAtCompany]]&lt;=2,"0-2 yrs",HrData[[#This Row],[YearsAtCompany]]&lt;=5,"3-5 yrs",TRUE,"5+ yrs")</f>
        <v>5+ yrs</v>
      </c>
    </row>
    <row r="1023" spans="1:36" x14ac:dyDescent="0.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_xlfn.IFS(HrData[[#This Row],[YearsAtCompany]]&lt;=2,"0-2 yrs",HrData[[#This Row],[YearsAtCompany]]&lt;=5,"3-5 yrs",TRUE,"5+ yrs")</f>
        <v>3-5 yrs</v>
      </c>
    </row>
    <row r="1024" spans="1:36" x14ac:dyDescent="0.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_xlfn.IFS(HrData[[#This Row],[YearsAtCompany]]&lt;=2,"0-2 yrs",HrData[[#This Row],[YearsAtCompany]]&lt;=5,"3-5 yrs",TRUE,"5+ yrs")</f>
        <v>5+ yrs</v>
      </c>
    </row>
    <row r="1025" spans="1:36" x14ac:dyDescent="0.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_xlfn.IFS(HrData[[#This Row],[YearsAtCompany]]&lt;=2,"0-2 yrs",HrData[[#This Row],[YearsAtCompany]]&lt;=5,"3-5 yrs",TRUE,"5+ yrs")</f>
        <v>3-5 yrs</v>
      </c>
    </row>
    <row r="1026" spans="1:36" x14ac:dyDescent="0.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_xlfn.IFS(HrData[[#This Row],[YearsAtCompany]]&lt;=2,"0-2 yrs",HrData[[#This Row],[YearsAtCompany]]&lt;=5,"3-5 yrs",TRUE,"5+ yrs")</f>
        <v>5+ yrs</v>
      </c>
    </row>
    <row r="1027" spans="1:36" x14ac:dyDescent="0.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_xlfn.IFS(HrData[[#This Row],[YearsAtCompany]]&lt;=2,"0-2 yrs",HrData[[#This Row],[YearsAtCompany]]&lt;=5,"3-5 yrs",TRUE,"5+ yrs")</f>
        <v>3-5 yrs</v>
      </c>
    </row>
    <row r="1028" spans="1:36" x14ac:dyDescent="0.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_xlfn.IFS(HrData[[#This Row],[YearsAtCompany]]&lt;=2,"0-2 yrs",HrData[[#This Row],[YearsAtCompany]]&lt;=5,"3-5 yrs",TRUE,"5+ yrs")</f>
        <v>3-5 yrs</v>
      </c>
    </row>
    <row r="1029" spans="1:36" x14ac:dyDescent="0.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_xlfn.IFS(HrData[[#This Row],[YearsAtCompany]]&lt;=2,"0-2 yrs",HrData[[#This Row],[YearsAtCompany]]&lt;=5,"3-5 yrs",TRUE,"5+ yrs")</f>
        <v>3-5 yrs</v>
      </c>
    </row>
    <row r="1030" spans="1:36" x14ac:dyDescent="0.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_xlfn.IFS(HrData[[#This Row],[YearsAtCompany]]&lt;=2,"0-2 yrs",HrData[[#This Row],[YearsAtCompany]]&lt;=5,"3-5 yrs",TRUE,"5+ yrs")</f>
        <v>3-5 yrs</v>
      </c>
    </row>
    <row r="1031" spans="1:36" x14ac:dyDescent="0.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_xlfn.IFS(HrData[[#This Row],[YearsAtCompany]]&lt;=2,"0-2 yrs",HrData[[#This Row],[YearsAtCompany]]&lt;=5,"3-5 yrs",TRUE,"5+ yrs")</f>
        <v>5+ yrs</v>
      </c>
    </row>
    <row r="1032" spans="1:36" x14ac:dyDescent="0.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_xlfn.IFS(HrData[[#This Row],[YearsAtCompany]]&lt;=2,"0-2 yrs",HrData[[#This Row],[YearsAtCompany]]&lt;=5,"3-5 yrs",TRUE,"5+ yrs")</f>
        <v>5+ yrs</v>
      </c>
    </row>
    <row r="1033" spans="1:36" x14ac:dyDescent="0.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_xlfn.IFS(HrData[[#This Row],[YearsAtCompany]]&lt;=2,"0-2 yrs",HrData[[#This Row],[YearsAtCompany]]&lt;=5,"3-5 yrs",TRUE,"5+ yrs")</f>
        <v>5+ yrs</v>
      </c>
    </row>
    <row r="1034" spans="1:36" x14ac:dyDescent="0.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_xlfn.IFS(HrData[[#This Row],[YearsAtCompany]]&lt;=2,"0-2 yrs",HrData[[#This Row],[YearsAtCompany]]&lt;=5,"3-5 yrs",TRUE,"5+ yrs")</f>
        <v>0-2 yrs</v>
      </c>
    </row>
    <row r="1035" spans="1:36" x14ac:dyDescent="0.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_xlfn.IFS(HrData[[#This Row],[YearsAtCompany]]&lt;=2,"0-2 yrs",HrData[[#This Row],[YearsAtCompany]]&lt;=5,"3-5 yrs",TRUE,"5+ yrs")</f>
        <v>5+ yrs</v>
      </c>
    </row>
    <row r="1036" spans="1:36" x14ac:dyDescent="0.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_xlfn.IFS(HrData[[#This Row],[YearsAtCompany]]&lt;=2,"0-2 yrs",HrData[[#This Row],[YearsAtCompany]]&lt;=5,"3-5 yrs",TRUE,"5+ yrs")</f>
        <v>5+ yrs</v>
      </c>
    </row>
    <row r="1037" spans="1:36" x14ac:dyDescent="0.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_xlfn.IFS(HrData[[#This Row],[YearsAtCompany]]&lt;=2,"0-2 yrs",HrData[[#This Row],[YearsAtCompany]]&lt;=5,"3-5 yrs",TRUE,"5+ yrs")</f>
        <v>3-5 yrs</v>
      </c>
    </row>
    <row r="1038" spans="1:36" x14ac:dyDescent="0.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_xlfn.IFS(HrData[[#This Row],[YearsAtCompany]]&lt;=2,"0-2 yrs",HrData[[#This Row],[YearsAtCompany]]&lt;=5,"3-5 yrs",TRUE,"5+ yrs")</f>
        <v>0-2 yrs</v>
      </c>
    </row>
    <row r="1039" spans="1:36" x14ac:dyDescent="0.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_xlfn.IFS(HrData[[#This Row],[YearsAtCompany]]&lt;=2,"0-2 yrs",HrData[[#This Row],[YearsAtCompany]]&lt;=5,"3-5 yrs",TRUE,"5+ yrs")</f>
        <v>3-5 yrs</v>
      </c>
    </row>
    <row r="1040" spans="1:36" x14ac:dyDescent="0.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_xlfn.IFS(HrData[[#This Row],[YearsAtCompany]]&lt;=2,"0-2 yrs",HrData[[#This Row],[YearsAtCompany]]&lt;=5,"3-5 yrs",TRUE,"5+ yrs")</f>
        <v>0-2 yrs</v>
      </c>
    </row>
    <row r="1041" spans="1:36" x14ac:dyDescent="0.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_xlfn.IFS(HrData[[#This Row],[YearsAtCompany]]&lt;=2,"0-2 yrs",HrData[[#This Row],[YearsAtCompany]]&lt;=5,"3-5 yrs",TRUE,"5+ yrs")</f>
        <v>0-2 yrs</v>
      </c>
    </row>
    <row r="1042" spans="1:36" x14ac:dyDescent="0.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_xlfn.IFS(HrData[[#This Row],[YearsAtCompany]]&lt;=2,"0-2 yrs",HrData[[#This Row],[YearsAtCompany]]&lt;=5,"3-5 yrs",TRUE,"5+ yrs")</f>
        <v>5+ yrs</v>
      </c>
    </row>
    <row r="1043" spans="1:36" x14ac:dyDescent="0.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_xlfn.IFS(HrData[[#This Row],[YearsAtCompany]]&lt;=2,"0-2 yrs",HrData[[#This Row],[YearsAtCompany]]&lt;=5,"3-5 yrs",TRUE,"5+ yrs")</f>
        <v>3-5 yrs</v>
      </c>
    </row>
    <row r="1044" spans="1:36" x14ac:dyDescent="0.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_xlfn.IFS(HrData[[#This Row],[YearsAtCompany]]&lt;=2,"0-2 yrs",HrData[[#This Row],[YearsAtCompany]]&lt;=5,"3-5 yrs",TRUE,"5+ yrs")</f>
        <v>3-5 yrs</v>
      </c>
    </row>
    <row r="1045" spans="1:36" x14ac:dyDescent="0.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_xlfn.IFS(HrData[[#This Row],[YearsAtCompany]]&lt;=2,"0-2 yrs",HrData[[#This Row],[YearsAtCompany]]&lt;=5,"3-5 yrs",TRUE,"5+ yrs")</f>
        <v>5+ yrs</v>
      </c>
    </row>
    <row r="1046" spans="1:36" x14ac:dyDescent="0.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_xlfn.IFS(HrData[[#This Row],[YearsAtCompany]]&lt;=2,"0-2 yrs",HrData[[#This Row],[YearsAtCompany]]&lt;=5,"3-5 yrs",TRUE,"5+ yrs")</f>
        <v>3-5 yrs</v>
      </c>
    </row>
    <row r="1047" spans="1:36" x14ac:dyDescent="0.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_xlfn.IFS(HrData[[#This Row],[YearsAtCompany]]&lt;=2,"0-2 yrs",HrData[[#This Row],[YearsAtCompany]]&lt;=5,"3-5 yrs",TRUE,"5+ yrs")</f>
        <v>3-5 yrs</v>
      </c>
    </row>
    <row r="1048" spans="1:36" x14ac:dyDescent="0.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_xlfn.IFS(HrData[[#This Row],[YearsAtCompany]]&lt;=2,"0-2 yrs",HrData[[#This Row],[YearsAtCompany]]&lt;=5,"3-5 yrs",TRUE,"5+ yrs")</f>
        <v>3-5 yrs</v>
      </c>
    </row>
    <row r="1049" spans="1:36" x14ac:dyDescent="0.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_xlfn.IFS(HrData[[#This Row],[YearsAtCompany]]&lt;=2,"0-2 yrs",HrData[[#This Row],[YearsAtCompany]]&lt;=5,"3-5 yrs",TRUE,"5+ yrs")</f>
        <v>3-5 yrs</v>
      </c>
    </row>
    <row r="1050" spans="1:36" x14ac:dyDescent="0.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_xlfn.IFS(HrData[[#This Row],[YearsAtCompany]]&lt;=2,"0-2 yrs",HrData[[#This Row],[YearsAtCompany]]&lt;=5,"3-5 yrs",TRUE,"5+ yrs")</f>
        <v>5+ yrs</v>
      </c>
    </row>
    <row r="1051" spans="1:36" x14ac:dyDescent="0.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_xlfn.IFS(HrData[[#This Row],[YearsAtCompany]]&lt;=2,"0-2 yrs",HrData[[#This Row],[YearsAtCompany]]&lt;=5,"3-5 yrs",TRUE,"5+ yrs")</f>
        <v>0-2 yrs</v>
      </c>
    </row>
    <row r="1052" spans="1:36" x14ac:dyDescent="0.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_xlfn.IFS(HrData[[#This Row],[YearsAtCompany]]&lt;=2,"0-2 yrs",HrData[[#This Row],[YearsAtCompany]]&lt;=5,"3-5 yrs",TRUE,"5+ yrs")</f>
        <v>5+ yrs</v>
      </c>
    </row>
    <row r="1053" spans="1:36" x14ac:dyDescent="0.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_xlfn.IFS(HrData[[#This Row],[YearsAtCompany]]&lt;=2,"0-2 yrs",HrData[[#This Row],[YearsAtCompany]]&lt;=5,"3-5 yrs",TRUE,"5+ yrs")</f>
        <v>0-2 yrs</v>
      </c>
    </row>
    <row r="1054" spans="1:36" x14ac:dyDescent="0.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_xlfn.IFS(HrData[[#This Row],[YearsAtCompany]]&lt;=2,"0-2 yrs",HrData[[#This Row],[YearsAtCompany]]&lt;=5,"3-5 yrs",TRUE,"5+ yrs")</f>
        <v>0-2 yrs</v>
      </c>
    </row>
    <row r="1055" spans="1:36" x14ac:dyDescent="0.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_xlfn.IFS(HrData[[#This Row],[YearsAtCompany]]&lt;=2,"0-2 yrs",HrData[[#This Row],[YearsAtCompany]]&lt;=5,"3-5 yrs",TRUE,"5+ yrs")</f>
        <v>5+ yrs</v>
      </c>
    </row>
    <row r="1056" spans="1:36" x14ac:dyDescent="0.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_xlfn.IFS(HrData[[#This Row],[YearsAtCompany]]&lt;=2,"0-2 yrs",HrData[[#This Row],[YearsAtCompany]]&lt;=5,"3-5 yrs",TRUE,"5+ yrs")</f>
        <v>5+ yrs</v>
      </c>
    </row>
    <row r="1057" spans="1:36" x14ac:dyDescent="0.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_xlfn.IFS(HrData[[#This Row],[YearsAtCompany]]&lt;=2,"0-2 yrs",HrData[[#This Row],[YearsAtCompany]]&lt;=5,"3-5 yrs",TRUE,"5+ yrs")</f>
        <v>5+ yrs</v>
      </c>
    </row>
    <row r="1058" spans="1:36" x14ac:dyDescent="0.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_xlfn.IFS(HrData[[#This Row],[YearsAtCompany]]&lt;=2,"0-2 yrs",HrData[[#This Row],[YearsAtCompany]]&lt;=5,"3-5 yrs",TRUE,"5+ yrs")</f>
        <v>3-5 yrs</v>
      </c>
    </row>
    <row r="1059" spans="1:36" x14ac:dyDescent="0.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_xlfn.IFS(HrData[[#This Row],[YearsAtCompany]]&lt;=2,"0-2 yrs",HrData[[#This Row],[YearsAtCompany]]&lt;=5,"3-5 yrs",TRUE,"5+ yrs")</f>
        <v>3-5 yrs</v>
      </c>
    </row>
    <row r="1060" spans="1:36" x14ac:dyDescent="0.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_xlfn.IFS(HrData[[#This Row],[YearsAtCompany]]&lt;=2,"0-2 yrs",HrData[[#This Row],[YearsAtCompany]]&lt;=5,"3-5 yrs",TRUE,"5+ yrs")</f>
        <v>5+ yrs</v>
      </c>
    </row>
    <row r="1061" spans="1:36" x14ac:dyDescent="0.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_xlfn.IFS(HrData[[#This Row],[YearsAtCompany]]&lt;=2,"0-2 yrs",HrData[[#This Row],[YearsAtCompany]]&lt;=5,"3-5 yrs",TRUE,"5+ yrs")</f>
        <v>0-2 yrs</v>
      </c>
    </row>
    <row r="1062" spans="1:36" x14ac:dyDescent="0.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_xlfn.IFS(HrData[[#This Row],[YearsAtCompany]]&lt;=2,"0-2 yrs",HrData[[#This Row],[YearsAtCompany]]&lt;=5,"3-5 yrs",TRUE,"5+ yrs")</f>
        <v>0-2 yrs</v>
      </c>
    </row>
    <row r="1063" spans="1:36" x14ac:dyDescent="0.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_xlfn.IFS(HrData[[#This Row],[YearsAtCompany]]&lt;=2,"0-2 yrs",HrData[[#This Row],[YearsAtCompany]]&lt;=5,"3-5 yrs",TRUE,"5+ yrs")</f>
        <v>0-2 yrs</v>
      </c>
    </row>
    <row r="1064" spans="1:36" x14ac:dyDescent="0.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_xlfn.IFS(HrData[[#This Row],[YearsAtCompany]]&lt;=2,"0-2 yrs",HrData[[#This Row],[YearsAtCompany]]&lt;=5,"3-5 yrs",TRUE,"5+ yrs")</f>
        <v>0-2 yrs</v>
      </c>
    </row>
    <row r="1065" spans="1:36" x14ac:dyDescent="0.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_xlfn.IFS(HrData[[#This Row],[YearsAtCompany]]&lt;=2,"0-2 yrs",HrData[[#This Row],[YearsAtCompany]]&lt;=5,"3-5 yrs",TRUE,"5+ yrs")</f>
        <v>5+ yrs</v>
      </c>
    </row>
    <row r="1066" spans="1:36" x14ac:dyDescent="0.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_xlfn.IFS(HrData[[#This Row],[YearsAtCompany]]&lt;=2,"0-2 yrs",HrData[[#This Row],[YearsAtCompany]]&lt;=5,"3-5 yrs",TRUE,"5+ yrs")</f>
        <v>3-5 yrs</v>
      </c>
    </row>
    <row r="1067" spans="1:36" x14ac:dyDescent="0.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_xlfn.IFS(HrData[[#This Row],[YearsAtCompany]]&lt;=2,"0-2 yrs",HrData[[#This Row],[YearsAtCompany]]&lt;=5,"3-5 yrs",TRUE,"5+ yrs")</f>
        <v>3-5 yrs</v>
      </c>
    </row>
    <row r="1068" spans="1:36" x14ac:dyDescent="0.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_xlfn.IFS(HrData[[#This Row],[YearsAtCompany]]&lt;=2,"0-2 yrs",HrData[[#This Row],[YearsAtCompany]]&lt;=5,"3-5 yrs",TRUE,"5+ yrs")</f>
        <v>3-5 yrs</v>
      </c>
    </row>
    <row r="1069" spans="1:36" x14ac:dyDescent="0.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_xlfn.IFS(HrData[[#This Row],[YearsAtCompany]]&lt;=2,"0-2 yrs",HrData[[#This Row],[YearsAtCompany]]&lt;=5,"3-5 yrs",TRUE,"5+ yrs")</f>
        <v>3-5 yrs</v>
      </c>
    </row>
    <row r="1070" spans="1:36" x14ac:dyDescent="0.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_xlfn.IFS(HrData[[#This Row],[YearsAtCompany]]&lt;=2,"0-2 yrs",HrData[[#This Row],[YearsAtCompany]]&lt;=5,"3-5 yrs",TRUE,"5+ yrs")</f>
        <v>0-2 yrs</v>
      </c>
    </row>
    <row r="1071" spans="1:36" x14ac:dyDescent="0.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_xlfn.IFS(HrData[[#This Row],[YearsAtCompany]]&lt;=2,"0-2 yrs",HrData[[#This Row],[YearsAtCompany]]&lt;=5,"3-5 yrs",TRUE,"5+ yrs")</f>
        <v>0-2 yrs</v>
      </c>
    </row>
    <row r="1072" spans="1:36" x14ac:dyDescent="0.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_xlfn.IFS(HrData[[#This Row],[YearsAtCompany]]&lt;=2,"0-2 yrs",HrData[[#This Row],[YearsAtCompany]]&lt;=5,"3-5 yrs",TRUE,"5+ yrs")</f>
        <v>3-5 yrs</v>
      </c>
    </row>
    <row r="1073" spans="1:36" x14ac:dyDescent="0.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_xlfn.IFS(HrData[[#This Row],[YearsAtCompany]]&lt;=2,"0-2 yrs",HrData[[#This Row],[YearsAtCompany]]&lt;=5,"3-5 yrs",TRUE,"5+ yrs")</f>
        <v>3-5 yrs</v>
      </c>
    </row>
    <row r="1074" spans="1:36" x14ac:dyDescent="0.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_xlfn.IFS(HrData[[#This Row],[YearsAtCompany]]&lt;=2,"0-2 yrs",HrData[[#This Row],[YearsAtCompany]]&lt;=5,"3-5 yrs",TRUE,"5+ yrs")</f>
        <v>3-5 yrs</v>
      </c>
    </row>
    <row r="1075" spans="1:36" x14ac:dyDescent="0.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_xlfn.IFS(HrData[[#This Row],[YearsAtCompany]]&lt;=2,"0-2 yrs",HrData[[#This Row],[YearsAtCompany]]&lt;=5,"3-5 yrs",TRUE,"5+ yrs")</f>
        <v>5+ yrs</v>
      </c>
    </row>
    <row r="1076" spans="1:36" x14ac:dyDescent="0.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_xlfn.IFS(HrData[[#This Row],[YearsAtCompany]]&lt;=2,"0-2 yrs",HrData[[#This Row],[YearsAtCompany]]&lt;=5,"3-5 yrs",TRUE,"5+ yrs")</f>
        <v>0-2 yrs</v>
      </c>
    </row>
    <row r="1077" spans="1:36" x14ac:dyDescent="0.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_xlfn.IFS(HrData[[#This Row],[YearsAtCompany]]&lt;=2,"0-2 yrs",HrData[[#This Row],[YearsAtCompany]]&lt;=5,"3-5 yrs",TRUE,"5+ yrs")</f>
        <v>3-5 yrs</v>
      </c>
    </row>
    <row r="1078" spans="1:36" x14ac:dyDescent="0.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_xlfn.IFS(HrData[[#This Row],[YearsAtCompany]]&lt;=2,"0-2 yrs",HrData[[#This Row],[YearsAtCompany]]&lt;=5,"3-5 yrs",TRUE,"5+ yrs")</f>
        <v>5+ yrs</v>
      </c>
    </row>
    <row r="1079" spans="1:36" x14ac:dyDescent="0.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_xlfn.IFS(HrData[[#This Row],[YearsAtCompany]]&lt;=2,"0-2 yrs",HrData[[#This Row],[YearsAtCompany]]&lt;=5,"3-5 yrs",TRUE,"5+ yrs")</f>
        <v>5+ yrs</v>
      </c>
    </row>
    <row r="1080" spans="1:36" x14ac:dyDescent="0.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_xlfn.IFS(HrData[[#This Row],[YearsAtCompany]]&lt;=2,"0-2 yrs",HrData[[#This Row],[YearsAtCompany]]&lt;=5,"3-5 yrs",TRUE,"5+ yrs")</f>
        <v>5+ yrs</v>
      </c>
    </row>
    <row r="1081" spans="1:36" x14ac:dyDescent="0.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_xlfn.IFS(HrData[[#This Row],[YearsAtCompany]]&lt;=2,"0-2 yrs",HrData[[#This Row],[YearsAtCompany]]&lt;=5,"3-5 yrs",TRUE,"5+ yrs")</f>
        <v>0-2 yrs</v>
      </c>
    </row>
    <row r="1082" spans="1:36" x14ac:dyDescent="0.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_xlfn.IFS(HrData[[#This Row],[YearsAtCompany]]&lt;=2,"0-2 yrs",HrData[[#This Row],[YearsAtCompany]]&lt;=5,"3-5 yrs",TRUE,"5+ yrs")</f>
        <v>5+ yrs</v>
      </c>
    </row>
    <row r="1083" spans="1:36" x14ac:dyDescent="0.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_xlfn.IFS(HrData[[#This Row],[YearsAtCompany]]&lt;=2,"0-2 yrs",HrData[[#This Row],[YearsAtCompany]]&lt;=5,"3-5 yrs",TRUE,"5+ yrs")</f>
        <v>5+ yrs</v>
      </c>
    </row>
    <row r="1084" spans="1:36" x14ac:dyDescent="0.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_xlfn.IFS(HrData[[#This Row],[YearsAtCompany]]&lt;=2,"0-2 yrs",HrData[[#This Row],[YearsAtCompany]]&lt;=5,"3-5 yrs",TRUE,"5+ yrs")</f>
        <v>3-5 yrs</v>
      </c>
    </row>
    <row r="1085" spans="1:36" x14ac:dyDescent="0.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_xlfn.IFS(HrData[[#This Row],[YearsAtCompany]]&lt;=2,"0-2 yrs",HrData[[#This Row],[YearsAtCompany]]&lt;=5,"3-5 yrs",TRUE,"5+ yrs")</f>
        <v>3-5 yrs</v>
      </c>
    </row>
    <row r="1086" spans="1:36" x14ac:dyDescent="0.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_xlfn.IFS(HrData[[#This Row],[YearsAtCompany]]&lt;=2,"0-2 yrs",HrData[[#This Row],[YearsAtCompany]]&lt;=5,"3-5 yrs",TRUE,"5+ yrs")</f>
        <v>5+ yrs</v>
      </c>
    </row>
    <row r="1087" spans="1:36" x14ac:dyDescent="0.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_xlfn.IFS(HrData[[#This Row],[YearsAtCompany]]&lt;=2,"0-2 yrs",HrData[[#This Row],[YearsAtCompany]]&lt;=5,"3-5 yrs",TRUE,"5+ yrs")</f>
        <v>5+ yrs</v>
      </c>
    </row>
    <row r="1088" spans="1:36" x14ac:dyDescent="0.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_xlfn.IFS(HrData[[#This Row],[YearsAtCompany]]&lt;=2,"0-2 yrs",HrData[[#This Row],[YearsAtCompany]]&lt;=5,"3-5 yrs",TRUE,"5+ yrs")</f>
        <v>5+ yrs</v>
      </c>
    </row>
    <row r="1089" spans="1:36" x14ac:dyDescent="0.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_xlfn.IFS(HrData[[#This Row],[YearsAtCompany]]&lt;=2,"0-2 yrs",HrData[[#This Row],[YearsAtCompany]]&lt;=5,"3-5 yrs",TRUE,"5+ yrs")</f>
        <v>5+ yrs</v>
      </c>
    </row>
    <row r="1090" spans="1:36" x14ac:dyDescent="0.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_xlfn.IFS(HrData[[#This Row],[YearsAtCompany]]&lt;=2,"0-2 yrs",HrData[[#This Row],[YearsAtCompany]]&lt;=5,"3-5 yrs",TRUE,"5+ yrs")</f>
        <v>0-2 yrs</v>
      </c>
    </row>
    <row r="1091" spans="1:36" x14ac:dyDescent="0.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_xlfn.IFS(HrData[[#This Row],[YearsAtCompany]]&lt;=2,"0-2 yrs",HrData[[#This Row],[YearsAtCompany]]&lt;=5,"3-5 yrs",TRUE,"5+ yrs")</f>
        <v>5+ yrs</v>
      </c>
    </row>
    <row r="1092" spans="1:36" x14ac:dyDescent="0.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_xlfn.IFS(HrData[[#This Row],[YearsAtCompany]]&lt;=2,"0-2 yrs",HrData[[#This Row],[YearsAtCompany]]&lt;=5,"3-5 yrs",TRUE,"5+ yrs")</f>
        <v>5+ yrs</v>
      </c>
    </row>
    <row r="1093" spans="1:36" x14ac:dyDescent="0.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_xlfn.IFS(HrData[[#This Row],[YearsAtCompany]]&lt;=2,"0-2 yrs",HrData[[#This Row],[YearsAtCompany]]&lt;=5,"3-5 yrs",TRUE,"5+ yrs")</f>
        <v>3-5 yrs</v>
      </c>
    </row>
    <row r="1094" spans="1:36" x14ac:dyDescent="0.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_xlfn.IFS(HrData[[#This Row],[YearsAtCompany]]&lt;=2,"0-2 yrs",HrData[[#This Row],[YearsAtCompany]]&lt;=5,"3-5 yrs",TRUE,"5+ yrs")</f>
        <v>3-5 yrs</v>
      </c>
    </row>
    <row r="1095" spans="1:36" x14ac:dyDescent="0.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_xlfn.IFS(HrData[[#This Row],[YearsAtCompany]]&lt;=2,"0-2 yrs",HrData[[#This Row],[YearsAtCompany]]&lt;=5,"3-5 yrs",TRUE,"5+ yrs")</f>
        <v>5+ yrs</v>
      </c>
    </row>
    <row r="1096" spans="1:36" x14ac:dyDescent="0.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_xlfn.IFS(HrData[[#This Row],[YearsAtCompany]]&lt;=2,"0-2 yrs",HrData[[#This Row],[YearsAtCompany]]&lt;=5,"3-5 yrs",TRUE,"5+ yrs")</f>
        <v>5+ yrs</v>
      </c>
    </row>
    <row r="1097" spans="1:36" x14ac:dyDescent="0.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_xlfn.IFS(HrData[[#This Row],[YearsAtCompany]]&lt;=2,"0-2 yrs",HrData[[#This Row],[YearsAtCompany]]&lt;=5,"3-5 yrs",TRUE,"5+ yrs")</f>
        <v>5+ yrs</v>
      </c>
    </row>
    <row r="1098" spans="1:36" x14ac:dyDescent="0.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_xlfn.IFS(HrData[[#This Row],[YearsAtCompany]]&lt;=2,"0-2 yrs",HrData[[#This Row],[YearsAtCompany]]&lt;=5,"3-5 yrs",TRUE,"5+ yrs")</f>
        <v>5+ yrs</v>
      </c>
    </row>
    <row r="1099" spans="1:36" x14ac:dyDescent="0.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_xlfn.IFS(HrData[[#This Row],[YearsAtCompany]]&lt;=2,"0-2 yrs",HrData[[#This Row],[YearsAtCompany]]&lt;=5,"3-5 yrs",TRUE,"5+ yrs")</f>
        <v>0-2 yrs</v>
      </c>
    </row>
    <row r="1100" spans="1:36" x14ac:dyDescent="0.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_xlfn.IFS(HrData[[#This Row],[YearsAtCompany]]&lt;=2,"0-2 yrs",HrData[[#This Row],[YearsAtCompany]]&lt;=5,"3-5 yrs",TRUE,"5+ yrs")</f>
        <v>0-2 yrs</v>
      </c>
    </row>
    <row r="1101" spans="1:36" x14ac:dyDescent="0.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_xlfn.IFS(HrData[[#This Row],[YearsAtCompany]]&lt;=2,"0-2 yrs",HrData[[#This Row],[YearsAtCompany]]&lt;=5,"3-5 yrs",TRUE,"5+ yrs")</f>
        <v>5+ yrs</v>
      </c>
    </row>
    <row r="1102" spans="1:36" x14ac:dyDescent="0.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_xlfn.IFS(HrData[[#This Row],[YearsAtCompany]]&lt;=2,"0-2 yrs",HrData[[#This Row],[YearsAtCompany]]&lt;=5,"3-5 yrs",TRUE,"5+ yrs")</f>
        <v>3-5 yrs</v>
      </c>
    </row>
    <row r="1103" spans="1:36" x14ac:dyDescent="0.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_xlfn.IFS(HrData[[#This Row],[YearsAtCompany]]&lt;=2,"0-2 yrs",HrData[[#This Row],[YearsAtCompany]]&lt;=5,"3-5 yrs",TRUE,"5+ yrs")</f>
        <v>5+ yrs</v>
      </c>
    </row>
    <row r="1104" spans="1:36" x14ac:dyDescent="0.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_xlfn.IFS(HrData[[#This Row],[YearsAtCompany]]&lt;=2,"0-2 yrs",HrData[[#This Row],[YearsAtCompany]]&lt;=5,"3-5 yrs",TRUE,"5+ yrs")</f>
        <v>3-5 yrs</v>
      </c>
    </row>
    <row r="1105" spans="1:36" x14ac:dyDescent="0.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_xlfn.IFS(HrData[[#This Row],[YearsAtCompany]]&lt;=2,"0-2 yrs",HrData[[#This Row],[YearsAtCompany]]&lt;=5,"3-5 yrs",TRUE,"5+ yrs")</f>
        <v>5+ yrs</v>
      </c>
    </row>
    <row r="1106" spans="1:36" x14ac:dyDescent="0.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_xlfn.IFS(HrData[[#This Row],[YearsAtCompany]]&lt;=2,"0-2 yrs",HrData[[#This Row],[YearsAtCompany]]&lt;=5,"3-5 yrs",TRUE,"5+ yrs")</f>
        <v>0-2 yrs</v>
      </c>
    </row>
    <row r="1107" spans="1:36" x14ac:dyDescent="0.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_xlfn.IFS(HrData[[#This Row],[YearsAtCompany]]&lt;=2,"0-2 yrs",HrData[[#This Row],[YearsAtCompany]]&lt;=5,"3-5 yrs",TRUE,"5+ yrs")</f>
        <v>0-2 yrs</v>
      </c>
    </row>
    <row r="1108" spans="1:36" x14ac:dyDescent="0.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_xlfn.IFS(HrData[[#This Row],[YearsAtCompany]]&lt;=2,"0-2 yrs",HrData[[#This Row],[YearsAtCompany]]&lt;=5,"3-5 yrs",TRUE,"5+ yrs")</f>
        <v>5+ yrs</v>
      </c>
    </row>
    <row r="1109" spans="1:36" x14ac:dyDescent="0.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_xlfn.IFS(HrData[[#This Row],[YearsAtCompany]]&lt;=2,"0-2 yrs",HrData[[#This Row],[YearsAtCompany]]&lt;=5,"3-5 yrs",TRUE,"5+ yrs")</f>
        <v>5+ yrs</v>
      </c>
    </row>
    <row r="1110" spans="1:36" x14ac:dyDescent="0.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_xlfn.IFS(HrData[[#This Row],[YearsAtCompany]]&lt;=2,"0-2 yrs",HrData[[#This Row],[YearsAtCompany]]&lt;=5,"3-5 yrs",TRUE,"5+ yrs")</f>
        <v>3-5 yrs</v>
      </c>
    </row>
    <row r="1111" spans="1:36" x14ac:dyDescent="0.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_xlfn.IFS(HrData[[#This Row],[YearsAtCompany]]&lt;=2,"0-2 yrs",HrData[[#This Row],[YearsAtCompany]]&lt;=5,"3-5 yrs",TRUE,"5+ yrs")</f>
        <v>3-5 yrs</v>
      </c>
    </row>
    <row r="1112" spans="1:36" x14ac:dyDescent="0.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_xlfn.IFS(HrData[[#This Row],[YearsAtCompany]]&lt;=2,"0-2 yrs",HrData[[#This Row],[YearsAtCompany]]&lt;=5,"3-5 yrs",TRUE,"5+ yrs")</f>
        <v>0-2 yrs</v>
      </c>
    </row>
    <row r="1113" spans="1:36" x14ac:dyDescent="0.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_xlfn.IFS(HrData[[#This Row],[YearsAtCompany]]&lt;=2,"0-2 yrs",HrData[[#This Row],[YearsAtCompany]]&lt;=5,"3-5 yrs",TRUE,"5+ yrs")</f>
        <v>5+ yrs</v>
      </c>
    </row>
    <row r="1114" spans="1:36" x14ac:dyDescent="0.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_xlfn.IFS(HrData[[#This Row],[YearsAtCompany]]&lt;=2,"0-2 yrs",HrData[[#This Row],[YearsAtCompany]]&lt;=5,"3-5 yrs",TRUE,"5+ yrs")</f>
        <v>3-5 yrs</v>
      </c>
    </row>
    <row r="1115" spans="1:36" x14ac:dyDescent="0.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_xlfn.IFS(HrData[[#This Row],[YearsAtCompany]]&lt;=2,"0-2 yrs",HrData[[#This Row],[YearsAtCompany]]&lt;=5,"3-5 yrs",TRUE,"5+ yrs")</f>
        <v>5+ yrs</v>
      </c>
    </row>
    <row r="1116" spans="1:36" x14ac:dyDescent="0.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_xlfn.IFS(HrData[[#This Row],[YearsAtCompany]]&lt;=2,"0-2 yrs",HrData[[#This Row],[YearsAtCompany]]&lt;=5,"3-5 yrs",TRUE,"5+ yrs")</f>
        <v>5+ yrs</v>
      </c>
    </row>
    <row r="1117" spans="1:36" x14ac:dyDescent="0.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_xlfn.IFS(HrData[[#This Row],[YearsAtCompany]]&lt;=2,"0-2 yrs",HrData[[#This Row],[YearsAtCompany]]&lt;=5,"3-5 yrs",TRUE,"5+ yrs")</f>
        <v>0-2 yrs</v>
      </c>
    </row>
    <row r="1118" spans="1:36" x14ac:dyDescent="0.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_xlfn.IFS(HrData[[#This Row],[YearsAtCompany]]&lt;=2,"0-2 yrs",HrData[[#This Row],[YearsAtCompany]]&lt;=5,"3-5 yrs",TRUE,"5+ yrs")</f>
        <v>5+ yrs</v>
      </c>
    </row>
    <row r="1119" spans="1:36" x14ac:dyDescent="0.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_xlfn.IFS(HrData[[#This Row],[YearsAtCompany]]&lt;=2,"0-2 yrs",HrData[[#This Row],[YearsAtCompany]]&lt;=5,"3-5 yrs",TRUE,"5+ yrs")</f>
        <v>0-2 yrs</v>
      </c>
    </row>
    <row r="1120" spans="1:36" x14ac:dyDescent="0.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_xlfn.IFS(HrData[[#This Row],[YearsAtCompany]]&lt;=2,"0-2 yrs",HrData[[#This Row],[YearsAtCompany]]&lt;=5,"3-5 yrs",TRUE,"5+ yrs")</f>
        <v>0-2 yrs</v>
      </c>
    </row>
    <row r="1121" spans="1:36" x14ac:dyDescent="0.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_xlfn.IFS(HrData[[#This Row],[YearsAtCompany]]&lt;=2,"0-2 yrs",HrData[[#This Row],[YearsAtCompany]]&lt;=5,"3-5 yrs",TRUE,"5+ yrs")</f>
        <v>5+ yrs</v>
      </c>
    </row>
    <row r="1122" spans="1:36" x14ac:dyDescent="0.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_xlfn.IFS(HrData[[#This Row],[YearsAtCompany]]&lt;=2,"0-2 yrs",HrData[[#This Row],[YearsAtCompany]]&lt;=5,"3-5 yrs",TRUE,"5+ yrs")</f>
        <v>3-5 yrs</v>
      </c>
    </row>
    <row r="1123" spans="1:36" x14ac:dyDescent="0.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_xlfn.IFS(HrData[[#This Row],[YearsAtCompany]]&lt;=2,"0-2 yrs",HrData[[#This Row],[YearsAtCompany]]&lt;=5,"3-5 yrs",TRUE,"5+ yrs")</f>
        <v>0-2 yrs</v>
      </c>
    </row>
    <row r="1124" spans="1:36" x14ac:dyDescent="0.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_xlfn.IFS(HrData[[#This Row],[YearsAtCompany]]&lt;=2,"0-2 yrs",HrData[[#This Row],[YearsAtCompany]]&lt;=5,"3-5 yrs",TRUE,"5+ yrs")</f>
        <v>5+ yrs</v>
      </c>
    </row>
    <row r="1125" spans="1:36" x14ac:dyDescent="0.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_xlfn.IFS(HrData[[#This Row],[YearsAtCompany]]&lt;=2,"0-2 yrs",HrData[[#This Row],[YearsAtCompany]]&lt;=5,"3-5 yrs",TRUE,"5+ yrs")</f>
        <v>3-5 yrs</v>
      </c>
    </row>
    <row r="1126" spans="1:36" x14ac:dyDescent="0.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_xlfn.IFS(HrData[[#This Row],[YearsAtCompany]]&lt;=2,"0-2 yrs",HrData[[#This Row],[YearsAtCompany]]&lt;=5,"3-5 yrs",TRUE,"5+ yrs")</f>
        <v>5+ yrs</v>
      </c>
    </row>
    <row r="1127" spans="1:36" x14ac:dyDescent="0.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_xlfn.IFS(HrData[[#This Row],[YearsAtCompany]]&lt;=2,"0-2 yrs",HrData[[#This Row],[YearsAtCompany]]&lt;=5,"3-5 yrs",TRUE,"5+ yrs")</f>
        <v>5+ yrs</v>
      </c>
    </row>
    <row r="1128" spans="1:36" x14ac:dyDescent="0.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_xlfn.IFS(HrData[[#This Row],[YearsAtCompany]]&lt;=2,"0-2 yrs",HrData[[#This Row],[YearsAtCompany]]&lt;=5,"3-5 yrs",TRUE,"5+ yrs")</f>
        <v>0-2 yrs</v>
      </c>
    </row>
    <row r="1129" spans="1:36" x14ac:dyDescent="0.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_xlfn.IFS(HrData[[#This Row],[YearsAtCompany]]&lt;=2,"0-2 yrs",HrData[[#This Row],[YearsAtCompany]]&lt;=5,"3-5 yrs",TRUE,"5+ yrs")</f>
        <v>0-2 yrs</v>
      </c>
    </row>
    <row r="1130" spans="1:36" x14ac:dyDescent="0.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_xlfn.IFS(HrData[[#This Row],[YearsAtCompany]]&lt;=2,"0-2 yrs",HrData[[#This Row],[YearsAtCompany]]&lt;=5,"3-5 yrs",TRUE,"5+ yrs")</f>
        <v>3-5 yrs</v>
      </c>
    </row>
    <row r="1131" spans="1:36" x14ac:dyDescent="0.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_xlfn.IFS(HrData[[#This Row],[YearsAtCompany]]&lt;=2,"0-2 yrs",HrData[[#This Row],[YearsAtCompany]]&lt;=5,"3-5 yrs",TRUE,"5+ yrs")</f>
        <v>0-2 yrs</v>
      </c>
    </row>
    <row r="1132" spans="1:36" x14ac:dyDescent="0.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_xlfn.IFS(HrData[[#This Row],[YearsAtCompany]]&lt;=2,"0-2 yrs",HrData[[#This Row],[YearsAtCompany]]&lt;=5,"3-5 yrs",TRUE,"5+ yrs")</f>
        <v>5+ yrs</v>
      </c>
    </row>
    <row r="1133" spans="1:36" x14ac:dyDescent="0.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_xlfn.IFS(HrData[[#This Row],[YearsAtCompany]]&lt;=2,"0-2 yrs",HrData[[#This Row],[YearsAtCompany]]&lt;=5,"3-5 yrs",TRUE,"5+ yrs")</f>
        <v>5+ yrs</v>
      </c>
    </row>
    <row r="1134" spans="1:36" x14ac:dyDescent="0.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_xlfn.IFS(HrData[[#This Row],[YearsAtCompany]]&lt;=2,"0-2 yrs",HrData[[#This Row],[YearsAtCompany]]&lt;=5,"3-5 yrs",TRUE,"5+ yrs")</f>
        <v>3-5 yrs</v>
      </c>
    </row>
    <row r="1135" spans="1:36" x14ac:dyDescent="0.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_xlfn.IFS(HrData[[#This Row],[YearsAtCompany]]&lt;=2,"0-2 yrs",HrData[[#This Row],[YearsAtCompany]]&lt;=5,"3-5 yrs",TRUE,"5+ yrs")</f>
        <v>5+ yrs</v>
      </c>
    </row>
    <row r="1136" spans="1:36" x14ac:dyDescent="0.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_xlfn.IFS(HrData[[#This Row],[YearsAtCompany]]&lt;=2,"0-2 yrs",HrData[[#This Row],[YearsAtCompany]]&lt;=5,"3-5 yrs",TRUE,"5+ yrs")</f>
        <v>0-2 yrs</v>
      </c>
    </row>
    <row r="1137" spans="1:36" x14ac:dyDescent="0.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_xlfn.IFS(HrData[[#This Row],[YearsAtCompany]]&lt;=2,"0-2 yrs",HrData[[#This Row],[YearsAtCompany]]&lt;=5,"3-5 yrs",TRUE,"5+ yrs")</f>
        <v>5+ yrs</v>
      </c>
    </row>
    <row r="1138" spans="1:36" x14ac:dyDescent="0.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_xlfn.IFS(HrData[[#This Row],[YearsAtCompany]]&lt;=2,"0-2 yrs",HrData[[#This Row],[YearsAtCompany]]&lt;=5,"3-5 yrs",TRUE,"5+ yrs")</f>
        <v>0-2 yrs</v>
      </c>
    </row>
    <row r="1139" spans="1:36" x14ac:dyDescent="0.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_xlfn.IFS(HrData[[#This Row],[YearsAtCompany]]&lt;=2,"0-2 yrs",HrData[[#This Row],[YearsAtCompany]]&lt;=5,"3-5 yrs",TRUE,"5+ yrs")</f>
        <v>3-5 yrs</v>
      </c>
    </row>
    <row r="1140" spans="1:36" x14ac:dyDescent="0.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_xlfn.IFS(HrData[[#This Row],[YearsAtCompany]]&lt;=2,"0-2 yrs",HrData[[#This Row],[YearsAtCompany]]&lt;=5,"3-5 yrs",TRUE,"5+ yrs")</f>
        <v>5+ yrs</v>
      </c>
    </row>
    <row r="1141" spans="1:36" x14ac:dyDescent="0.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_xlfn.IFS(HrData[[#This Row],[YearsAtCompany]]&lt;=2,"0-2 yrs",HrData[[#This Row],[YearsAtCompany]]&lt;=5,"3-5 yrs",TRUE,"5+ yrs")</f>
        <v>3-5 yrs</v>
      </c>
    </row>
    <row r="1142" spans="1:36" x14ac:dyDescent="0.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_xlfn.IFS(HrData[[#This Row],[YearsAtCompany]]&lt;=2,"0-2 yrs",HrData[[#This Row],[YearsAtCompany]]&lt;=5,"3-5 yrs",TRUE,"5+ yrs")</f>
        <v>5+ yrs</v>
      </c>
    </row>
    <row r="1143" spans="1:36" x14ac:dyDescent="0.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_xlfn.IFS(HrData[[#This Row],[YearsAtCompany]]&lt;=2,"0-2 yrs",HrData[[#This Row],[YearsAtCompany]]&lt;=5,"3-5 yrs",TRUE,"5+ yrs")</f>
        <v>5+ yrs</v>
      </c>
    </row>
    <row r="1144" spans="1:36" x14ac:dyDescent="0.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_xlfn.IFS(HrData[[#This Row],[YearsAtCompany]]&lt;=2,"0-2 yrs",HrData[[#This Row],[YearsAtCompany]]&lt;=5,"3-5 yrs",TRUE,"5+ yrs")</f>
        <v>5+ yrs</v>
      </c>
    </row>
    <row r="1145" spans="1:36" x14ac:dyDescent="0.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_xlfn.IFS(HrData[[#This Row],[YearsAtCompany]]&lt;=2,"0-2 yrs",HrData[[#This Row],[YearsAtCompany]]&lt;=5,"3-5 yrs",TRUE,"5+ yrs")</f>
        <v>5+ yrs</v>
      </c>
    </row>
    <row r="1146" spans="1:36" x14ac:dyDescent="0.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_xlfn.IFS(HrData[[#This Row],[YearsAtCompany]]&lt;=2,"0-2 yrs",HrData[[#This Row],[YearsAtCompany]]&lt;=5,"3-5 yrs",TRUE,"5+ yrs")</f>
        <v>3-5 yrs</v>
      </c>
    </row>
    <row r="1147" spans="1:36" x14ac:dyDescent="0.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_xlfn.IFS(HrData[[#This Row],[YearsAtCompany]]&lt;=2,"0-2 yrs",HrData[[#This Row],[YearsAtCompany]]&lt;=5,"3-5 yrs",TRUE,"5+ yrs")</f>
        <v>3-5 yrs</v>
      </c>
    </row>
    <row r="1148" spans="1:36" x14ac:dyDescent="0.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_xlfn.IFS(HrData[[#This Row],[YearsAtCompany]]&lt;=2,"0-2 yrs",HrData[[#This Row],[YearsAtCompany]]&lt;=5,"3-5 yrs",TRUE,"5+ yrs")</f>
        <v>5+ yrs</v>
      </c>
    </row>
    <row r="1149" spans="1:36" x14ac:dyDescent="0.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_xlfn.IFS(HrData[[#This Row],[YearsAtCompany]]&lt;=2,"0-2 yrs",HrData[[#This Row],[YearsAtCompany]]&lt;=5,"3-5 yrs",TRUE,"5+ yrs")</f>
        <v>5+ yrs</v>
      </c>
    </row>
    <row r="1150" spans="1:36" x14ac:dyDescent="0.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_xlfn.IFS(HrData[[#This Row],[YearsAtCompany]]&lt;=2,"0-2 yrs",HrData[[#This Row],[YearsAtCompany]]&lt;=5,"3-5 yrs",TRUE,"5+ yrs")</f>
        <v>5+ yrs</v>
      </c>
    </row>
    <row r="1151" spans="1:36" x14ac:dyDescent="0.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_xlfn.IFS(HrData[[#This Row],[YearsAtCompany]]&lt;=2,"0-2 yrs",HrData[[#This Row],[YearsAtCompany]]&lt;=5,"3-5 yrs",TRUE,"5+ yrs")</f>
        <v>5+ yrs</v>
      </c>
    </row>
    <row r="1152" spans="1:36" x14ac:dyDescent="0.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_xlfn.IFS(HrData[[#This Row],[YearsAtCompany]]&lt;=2,"0-2 yrs",HrData[[#This Row],[YearsAtCompany]]&lt;=5,"3-5 yrs",TRUE,"5+ yrs")</f>
        <v>5+ yrs</v>
      </c>
    </row>
    <row r="1153" spans="1:36" x14ac:dyDescent="0.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_xlfn.IFS(HrData[[#This Row],[YearsAtCompany]]&lt;=2,"0-2 yrs",HrData[[#This Row],[YearsAtCompany]]&lt;=5,"3-5 yrs",TRUE,"5+ yrs")</f>
        <v>3-5 yrs</v>
      </c>
    </row>
    <row r="1154" spans="1:36" x14ac:dyDescent="0.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_xlfn.IFS(HrData[[#This Row],[YearsAtCompany]]&lt;=2,"0-2 yrs",HrData[[#This Row],[YearsAtCompany]]&lt;=5,"3-5 yrs",TRUE,"5+ yrs")</f>
        <v>0-2 yrs</v>
      </c>
    </row>
    <row r="1155" spans="1:36" x14ac:dyDescent="0.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_xlfn.IFS(HrData[[#This Row],[YearsAtCompany]]&lt;=2,"0-2 yrs",HrData[[#This Row],[YearsAtCompany]]&lt;=5,"3-5 yrs",TRUE,"5+ yrs")</f>
        <v>0-2 yrs</v>
      </c>
    </row>
    <row r="1156" spans="1:36" x14ac:dyDescent="0.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_xlfn.IFS(HrData[[#This Row],[YearsAtCompany]]&lt;=2,"0-2 yrs",HrData[[#This Row],[YearsAtCompany]]&lt;=5,"3-5 yrs",TRUE,"5+ yrs")</f>
        <v>3-5 yrs</v>
      </c>
    </row>
    <row r="1157" spans="1:36" x14ac:dyDescent="0.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_xlfn.IFS(HrData[[#This Row],[YearsAtCompany]]&lt;=2,"0-2 yrs",HrData[[#This Row],[YearsAtCompany]]&lt;=5,"3-5 yrs",TRUE,"5+ yrs")</f>
        <v>5+ yrs</v>
      </c>
    </row>
    <row r="1158" spans="1:36" x14ac:dyDescent="0.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_xlfn.IFS(HrData[[#This Row],[YearsAtCompany]]&lt;=2,"0-2 yrs",HrData[[#This Row],[YearsAtCompany]]&lt;=5,"3-5 yrs",TRUE,"5+ yrs")</f>
        <v>5+ yrs</v>
      </c>
    </row>
    <row r="1159" spans="1:36" x14ac:dyDescent="0.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_xlfn.IFS(HrData[[#This Row],[YearsAtCompany]]&lt;=2,"0-2 yrs",HrData[[#This Row],[YearsAtCompany]]&lt;=5,"3-5 yrs",TRUE,"5+ yrs")</f>
        <v>5+ yrs</v>
      </c>
    </row>
    <row r="1160" spans="1:36" x14ac:dyDescent="0.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_xlfn.IFS(HrData[[#This Row],[YearsAtCompany]]&lt;=2,"0-2 yrs",HrData[[#This Row],[YearsAtCompany]]&lt;=5,"3-5 yrs",TRUE,"5+ yrs")</f>
        <v>3-5 yrs</v>
      </c>
    </row>
    <row r="1161" spans="1:36" x14ac:dyDescent="0.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_xlfn.IFS(HrData[[#This Row],[YearsAtCompany]]&lt;=2,"0-2 yrs",HrData[[#This Row],[YearsAtCompany]]&lt;=5,"3-5 yrs",TRUE,"5+ yrs")</f>
        <v>5+ yrs</v>
      </c>
    </row>
    <row r="1162" spans="1:36" x14ac:dyDescent="0.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_xlfn.IFS(HrData[[#This Row],[YearsAtCompany]]&lt;=2,"0-2 yrs",HrData[[#This Row],[YearsAtCompany]]&lt;=5,"3-5 yrs",TRUE,"5+ yrs")</f>
        <v>5+ yrs</v>
      </c>
    </row>
    <row r="1163" spans="1:36" x14ac:dyDescent="0.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_xlfn.IFS(HrData[[#This Row],[YearsAtCompany]]&lt;=2,"0-2 yrs",HrData[[#This Row],[YearsAtCompany]]&lt;=5,"3-5 yrs",TRUE,"5+ yrs")</f>
        <v>3-5 yrs</v>
      </c>
    </row>
    <row r="1164" spans="1:36" x14ac:dyDescent="0.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_xlfn.IFS(HrData[[#This Row],[YearsAtCompany]]&lt;=2,"0-2 yrs",HrData[[#This Row],[YearsAtCompany]]&lt;=5,"3-5 yrs",TRUE,"5+ yrs")</f>
        <v>5+ yrs</v>
      </c>
    </row>
    <row r="1165" spans="1:36" x14ac:dyDescent="0.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_xlfn.IFS(HrData[[#This Row],[YearsAtCompany]]&lt;=2,"0-2 yrs",HrData[[#This Row],[YearsAtCompany]]&lt;=5,"3-5 yrs",TRUE,"5+ yrs")</f>
        <v>5+ yrs</v>
      </c>
    </row>
    <row r="1166" spans="1:36" x14ac:dyDescent="0.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_xlfn.IFS(HrData[[#This Row],[YearsAtCompany]]&lt;=2,"0-2 yrs",HrData[[#This Row],[YearsAtCompany]]&lt;=5,"3-5 yrs",TRUE,"5+ yrs")</f>
        <v>3-5 yrs</v>
      </c>
    </row>
    <row r="1167" spans="1:36" x14ac:dyDescent="0.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_xlfn.IFS(HrData[[#This Row],[YearsAtCompany]]&lt;=2,"0-2 yrs",HrData[[#This Row],[YearsAtCompany]]&lt;=5,"3-5 yrs",TRUE,"5+ yrs")</f>
        <v>5+ yrs</v>
      </c>
    </row>
    <row r="1168" spans="1:36" x14ac:dyDescent="0.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_xlfn.IFS(HrData[[#This Row],[YearsAtCompany]]&lt;=2,"0-2 yrs",HrData[[#This Row],[YearsAtCompany]]&lt;=5,"3-5 yrs",TRUE,"5+ yrs")</f>
        <v>0-2 yrs</v>
      </c>
    </row>
    <row r="1169" spans="1:36" x14ac:dyDescent="0.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_xlfn.IFS(HrData[[#This Row],[YearsAtCompany]]&lt;=2,"0-2 yrs",HrData[[#This Row],[YearsAtCompany]]&lt;=5,"3-5 yrs",TRUE,"5+ yrs")</f>
        <v>0-2 yrs</v>
      </c>
    </row>
    <row r="1170" spans="1:36" x14ac:dyDescent="0.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_xlfn.IFS(HrData[[#This Row],[YearsAtCompany]]&lt;=2,"0-2 yrs",HrData[[#This Row],[YearsAtCompany]]&lt;=5,"3-5 yrs",TRUE,"5+ yrs")</f>
        <v>5+ yrs</v>
      </c>
    </row>
    <row r="1171" spans="1:36" x14ac:dyDescent="0.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_xlfn.IFS(HrData[[#This Row],[YearsAtCompany]]&lt;=2,"0-2 yrs",HrData[[#This Row],[YearsAtCompany]]&lt;=5,"3-5 yrs",TRUE,"5+ yrs")</f>
        <v>3-5 yrs</v>
      </c>
    </row>
    <row r="1172" spans="1:36" x14ac:dyDescent="0.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_xlfn.IFS(HrData[[#This Row],[YearsAtCompany]]&lt;=2,"0-2 yrs",HrData[[#This Row],[YearsAtCompany]]&lt;=5,"3-5 yrs",TRUE,"5+ yrs")</f>
        <v>3-5 yrs</v>
      </c>
    </row>
    <row r="1173" spans="1:36" x14ac:dyDescent="0.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_xlfn.IFS(HrData[[#This Row],[YearsAtCompany]]&lt;=2,"0-2 yrs",HrData[[#This Row],[YearsAtCompany]]&lt;=5,"3-5 yrs",TRUE,"5+ yrs")</f>
        <v>3-5 yrs</v>
      </c>
    </row>
    <row r="1174" spans="1:36" x14ac:dyDescent="0.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_xlfn.IFS(HrData[[#This Row],[YearsAtCompany]]&lt;=2,"0-2 yrs",HrData[[#This Row],[YearsAtCompany]]&lt;=5,"3-5 yrs",TRUE,"5+ yrs")</f>
        <v>3-5 yrs</v>
      </c>
    </row>
    <row r="1175" spans="1:36" x14ac:dyDescent="0.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_xlfn.IFS(HrData[[#This Row],[YearsAtCompany]]&lt;=2,"0-2 yrs",HrData[[#This Row],[YearsAtCompany]]&lt;=5,"3-5 yrs",TRUE,"5+ yrs")</f>
        <v>3-5 yrs</v>
      </c>
    </row>
    <row r="1176" spans="1:36" x14ac:dyDescent="0.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_xlfn.IFS(HrData[[#This Row],[YearsAtCompany]]&lt;=2,"0-2 yrs",HrData[[#This Row],[YearsAtCompany]]&lt;=5,"3-5 yrs",TRUE,"5+ yrs")</f>
        <v>5+ yrs</v>
      </c>
    </row>
    <row r="1177" spans="1:36" x14ac:dyDescent="0.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_xlfn.IFS(HrData[[#This Row],[YearsAtCompany]]&lt;=2,"0-2 yrs",HrData[[#This Row],[YearsAtCompany]]&lt;=5,"3-5 yrs",TRUE,"5+ yrs")</f>
        <v>3-5 yrs</v>
      </c>
    </row>
    <row r="1178" spans="1:36" x14ac:dyDescent="0.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_xlfn.IFS(HrData[[#This Row],[YearsAtCompany]]&lt;=2,"0-2 yrs",HrData[[#This Row],[YearsAtCompany]]&lt;=5,"3-5 yrs",TRUE,"5+ yrs")</f>
        <v>3-5 yrs</v>
      </c>
    </row>
    <row r="1179" spans="1:36" x14ac:dyDescent="0.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_xlfn.IFS(HrData[[#This Row],[YearsAtCompany]]&lt;=2,"0-2 yrs",HrData[[#This Row],[YearsAtCompany]]&lt;=5,"3-5 yrs",TRUE,"5+ yrs")</f>
        <v>5+ yrs</v>
      </c>
    </row>
    <row r="1180" spans="1:36" x14ac:dyDescent="0.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_xlfn.IFS(HrData[[#This Row],[YearsAtCompany]]&lt;=2,"0-2 yrs",HrData[[#This Row],[YearsAtCompany]]&lt;=5,"3-5 yrs",TRUE,"5+ yrs")</f>
        <v>0-2 yrs</v>
      </c>
    </row>
    <row r="1181" spans="1:36" x14ac:dyDescent="0.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_xlfn.IFS(HrData[[#This Row],[YearsAtCompany]]&lt;=2,"0-2 yrs",HrData[[#This Row],[YearsAtCompany]]&lt;=5,"3-5 yrs",TRUE,"5+ yrs")</f>
        <v>5+ yrs</v>
      </c>
    </row>
    <row r="1182" spans="1:36" x14ac:dyDescent="0.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_xlfn.IFS(HrData[[#This Row],[YearsAtCompany]]&lt;=2,"0-2 yrs",HrData[[#This Row],[YearsAtCompany]]&lt;=5,"3-5 yrs",TRUE,"5+ yrs")</f>
        <v>3-5 yrs</v>
      </c>
    </row>
    <row r="1183" spans="1:36" x14ac:dyDescent="0.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_xlfn.IFS(HrData[[#This Row],[YearsAtCompany]]&lt;=2,"0-2 yrs",HrData[[#This Row],[YearsAtCompany]]&lt;=5,"3-5 yrs",TRUE,"5+ yrs")</f>
        <v>5+ yrs</v>
      </c>
    </row>
    <row r="1184" spans="1:36" x14ac:dyDescent="0.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_xlfn.IFS(HrData[[#This Row],[YearsAtCompany]]&lt;=2,"0-2 yrs",HrData[[#This Row],[YearsAtCompany]]&lt;=5,"3-5 yrs",TRUE,"5+ yrs")</f>
        <v>3-5 yrs</v>
      </c>
    </row>
    <row r="1185" spans="1:36" x14ac:dyDescent="0.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_xlfn.IFS(HrData[[#This Row],[YearsAtCompany]]&lt;=2,"0-2 yrs",HrData[[#This Row],[YearsAtCompany]]&lt;=5,"3-5 yrs",TRUE,"5+ yrs")</f>
        <v>3-5 yrs</v>
      </c>
    </row>
    <row r="1186" spans="1:36" x14ac:dyDescent="0.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_xlfn.IFS(HrData[[#This Row],[YearsAtCompany]]&lt;=2,"0-2 yrs",HrData[[#This Row],[YearsAtCompany]]&lt;=5,"3-5 yrs",TRUE,"5+ yrs")</f>
        <v>5+ yrs</v>
      </c>
    </row>
    <row r="1187" spans="1:36" x14ac:dyDescent="0.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_xlfn.IFS(HrData[[#This Row],[YearsAtCompany]]&lt;=2,"0-2 yrs",HrData[[#This Row],[YearsAtCompany]]&lt;=5,"3-5 yrs",TRUE,"5+ yrs")</f>
        <v>5+ yrs</v>
      </c>
    </row>
    <row r="1188" spans="1:36" x14ac:dyDescent="0.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_xlfn.IFS(HrData[[#This Row],[YearsAtCompany]]&lt;=2,"0-2 yrs",HrData[[#This Row],[YearsAtCompany]]&lt;=5,"3-5 yrs",TRUE,"5+ yrs")</f>
        <v>5+ yrs</v>
      </c>
    </row>
    <row r="1189" spans="1:36" x14ac:dyDescent="0.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_xlfn.IFS(HrData[[#This Row],[YearsAtCompany]]&lt;=2,"0-2 yrs",HrData[[#This Row],[YearsAtCompany]]&lt;=5,"3-5 yrs",TRUE,"5+ yrs")</f>
        <v>5+ yrs</v>
      </c>
    </row>
    <row r="1190" spans="1:36" x14ac:dyDescent="0.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_xlfn.IFS(HrData[[#This Row],[YearsAtCompany]]&lt;=2,"0-2 yrs",HrData[[#This Row],[YearsAtCompany]]&lt;=5,"3-5 yrs",TRUE,"5+ yrs")</f>
        <v>5+ yrs</v>
      </c>
    </row>
    <row r="1191" spans="1:36" x14ac:dyDescent="0.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_xlfn.IFS(HrData[[#This Row],[YearsAtCompany]]&lt;=2,"0-2 yrs",HrData[[#This Row],[YearsAtCompany]]&lt;=5,"3-5 yrs",TRUE,"5+ yrs")</f>
        <v>5+ yrs</v>
      </c>
    </row>
    <row r="1192" spans="1:36" x14ac:dyDescent="0.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_xlfn.IFS(HrData[[#This Row],[YearsAtCompany]]&lt;=2,"0-2 yrs",HrData[[#This Row],[YearsAtCompany]]&lt;=5,"3-5 yrs",TRUE,"5+ yrs")</f>
        <v>5+ yrs</v>
      </c>
    </row>
    <row r="1193" spans="1:36" x14ac:dyDescent="0.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_xlfn.IFS(HrData[[#This Row],[YearsAtCompany]]&lt;=2,"0-2 yrs",HrData[[#This Row],[YearsAtCompany]]&lt;=5,"3-5 yrs",TRUE,"5+ yrs")</f>
        <v>5+ yrs</v>
      </c>
    </row>
    <row r="1194" spans="1:36" x14ac:dyDescent="0.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_xlfn.IFS(HrData[[#This Row],[YearsAtCompany]]&lt;=2,"0-2 yrs",HrData[[#This Row],[YearsAtCompany]]&lt;=5,"3-5 yrs",TRUE,"5+ yrs")</f>
        <v>0-2 yrs</v>
      </c>
    </row>
    <row r="1195" spans="1:36" x14ac:dyDescent="0.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_xlfn.IFS(HrData[[#This Row],[YearsAtCompany]]&lt;=2,"0-2 yrs",HrData[[#This Row],[YearsAtCompany]]&lt;=5,"3-5 yrs",TRUE,"5+ yrs")</f>
        <v>3-5 yrs</v>
      </c>
    </row>
    <row r="1196" spans="1:36" x14ac:dyDescent="0.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_xlfn.IFS(HrData[[#This Row],[YearsAtCompany]]&lt;=2,"0-2 yrs",HrData[[#This Row],[YearsAtCompany]]&lt;=5,"3-5 yrs",TRUE,"5+ yrs")</f>
        <v>3-5 yrs</v>
      </c>
    </row>
    <row r="1197" spans="1:36" x14ac:dyDescent="0.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_xlfn.IFS(HrData[[#This Row],[YearsAtCompany]]&lt;=2,"0-2 yrs",HrData[[#This Row],[YearsAtCompany]]&lt;=5,"3-5 yrs",TRUE,"5+ yrs")</f>
        <v>5+ yrs</v>
      </c>
    </row>
    <row r="1198" spans="1:36" x14ac:dyDescent="0.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_xlfn.IFS(HrData[[#This Row],[YearsAtCompany]]&lt;=2,"0-2 yrs",HrData[[#This Row],[YearsAtCompany]]&lt;=5,"3-5 yrs",TRUE,"5+ yrs")</f>
        <v>0-2 yrs</v>
      </c>
    </row>
    <row r="1199" spans="1:36" x14ac:dyDescent="0.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_xlfn.IFS(HrData[[#This Row],[YearsAtCompany]]&lt;=2,"0-2 yrs",HrData[[#This Row],[YearsAtCompany]]&lt;=5,"3-5 yrs",TRUE,"5+ yrs")</f>
        <v>0-2 yrs</v>
      </c>
    </row>
    <row r="1200" spans="1:36" x14ac:dyDescent="0.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_xlfn.IFS(HrData[[#This Row],[YearsAtCompany]]&lt;=2,"0-2 yrs",HrData[[#This Row],[YearsAtCompany]]&lt;=5,"3-5 yrs",TRUE,"5+ yrs")</f>
        <v>5+ yrs</v>
      </c>
    </row>
    <row r="1201" spans="1:36" x14ac:dyDescent="0.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_xlfn.IFS(HrData[[#This Row],[YearsAtCompany]]&lt;=2,"0-2 yrs",HrData[[#This Row],[YearsAtCompany]]&lt;=5,"3-5 yrs",TRUE,"5+ yrs")</f>
        <v>3-5 yrs</v>
      </c>
    </row>
    <row r="1202" spans="1:36" x14ac:dyDescent="0.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_xlfn.IFS(HrData[[#This Row],[YearsAtCompany]]&lt;=2,"0-2 yrs",HrData[[#This Row],[YearsAtCompany]]&lt;=5,"3-5 yrs",TRUE,"5+ yrs")</f>
        <v>0-2 yrs</v>
      </c>
    </row>
    <row r="1203" spans="1:36" x14ac:dyDescent="0.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_xlfn.IFS(HrData[[#This Row],[YearsAtCompany]]&lt;=2,"0-2 yrs",HrData[[#This Row],[YearsAtCompany]]&lt;=5,"3-5 yrs",TRUE,"5+ yrs")</f>
        <v>3-5 yrs</v>
      </c>
    </row>
    <row r="1204" spans="1:36" x14ac:dyDescent="0.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_xlfn.IFS(HrData[[#This Row],[YearsAtCompany]]&lt;=2,"0-2 yrs",HrData[[#This Row],[YearsAtCompany]]&lt;=5,"3-5 yrs",TRUE,"5+ yrs")</f>
        <v>0-2 yrs</v>
      </c>
    </row>
    <row r="1205" spans="1:36" x14ac:dyDescent="0.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_xlfn.IFS(HrData[[#This Row],[YearsAtCompany]]&lt;=2,"0-2 yrs",HrData[[#This Row],[YearsAtCompany]]&lt;=5,"3-5 yrs",TRUE,"5+ yrs")</f>
        <v>3-5 yrs</v>
      </c>
    </row>
    <row r="1206" spans="1:36" x14ac:dyDescent="0.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_xlfn.IFS(HrData[[#This Row],[YearsAtCompany]]&lt;=2,"0-2 yrs",HrData[[#This Row],[YearsAtCompany]]&lt;=5,"3-5 yrs",TRUE,"5+ yrs")</f>
        <v>5+ yrs</v>
      </c>
    </row>
    <row r="1207" spans="1:36" x14ac:dyDescent="0.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_xlfn.IFS(HrData[[#This Row],[YearsAtCompany]]&lt;=2,"0-2 yrs",HrData[[#This Row],[YearsAtCompany]]&lt;=5,"3-5 yrs",TRUE,"5+ yrs")</f>
        <v>0-2 yrs</v>
      </c>
    </row>
    <row r="1208" spans="1:36" x14ac:dyDescent="0.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_xlfn.IFS(HrData[[#This Row],[YearsAtCompany]]&lt;=2,"0-2 yrs",HrData[[#This Row],[YearsAtCompany]]&lt;=5,"3-5 yrs",TRUE,"5+ yrs")</f>
        <v>5+ yrs</v>
      </c>
    </row>
    <row r="1209" spans="1:36" x14ac:dyDescent="0.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_xlfn.IFS(HrData[[#This Row],[YearsAtCompany]]&lt;=2,"0-2 yrs",HrData[[#This Row],[YearsAtCompany]]&lt;=5,"3-5 yrs",TRUE,"5+ yrs")</f>
        <v>3-5 yrs</v>
      </c>
    </row>
    <row r="1210" spans="1:36" x14ac:dyDescent="0.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_xlfn.IFS(HrData[[#This Row],[YearsAtCompany]]&lt;=2,"0-2 yrs",HrData[[#This Row],[YearsAtCompany]]&lt;=5,"3-5 yrs",TRUE,"5+ yrs")</f>
        <v>5+ yrs</v>
      </c>
    </row>
    <row r="1211" spans="1:36" x14ac:dyDescent="0.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_xlfn.IFS(HrData[[#This Row],[YearsAtCompany]]&lt;=2,"0-2 yrs",HrData[[#This Row],[YearsAtCompany]]&lt;=5,"3-5 yrs",TRUE,"5+ yrs")</f>
        <v>0-2 yrs</v>
      </c>
    </row>
    <row r="1212" spans="1:36" x14ac:dyDescent="0.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_xlfn.IFS(HrData[[#This Row],[YearsAtCompany]]&lt;=2,"0-2 yrs",HrData[[#This Row],[YearsAtCompany]]&lt;=5,"3-5 yrs",TRUE,"5+ yrs")</f>
        <v>5+ yrs</v>
      </c>
    </row>
    <row r="1213" spans="1:36" x14ac:dyDescent="0.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_xlfn.IFS(HrData[[#This Row],[YearsAtCompany]]&lt;=2,"0-2 yrs",HrData[[#This Row],[YearsAtCompany]]&lt;=5,"3-5 yrs",TRUE,"5+ yrs")</f>
        <v>5+ yrs</v>
      </c>
    </row>
    <row r="1214" spans="1:36" x14ac:dyDescent="0.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_xlfn.IFS(HrData[[#This Row],[YearsAtCompany]]&lt;=2,"0-2 yrs",HrData[[#This Row],[YearsAtCompany]]&lt;=5,"3-5 yrs",TRUE,"5+ yrs")</f>
        <v>5+ yrs</v>
      </c>
    </row>
    <row r="1215" spans="1:36" x14ac:dyDescent="0.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_xlfn.IFS(HrData[[#This Row],[YearsAtCompany]]&lt;=2,"0-2 yrs",HrData[[#This Row],[YearsAtCompany]]&lt;=5,"3-5 yrs",TRUE,"5+ yrs")</f>
        <v>3-5 yrs</v>
      </c>
    </row>
    <row r="1216" spans="1:36" x14ac:dyDescent="0.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_xlfn.IFS(HrData[[#This Row],[YearsAtCompany]]&lt;=2,"0-2 yrs",HrData[[#This Row],[YearsAtCompany]]&lt;=5,"3-5 yrs",TRUE,"5+ yrs")</f>
        <v>5+ yrs</v>
      </c>
    </row>
    <row r="1217" spans="1:36" x14ac:dyDescent="0.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_xlfn.IFS(HrData[[#This Row],[YearsAtCompany]]&lt;=2,"0-2 yrs",HrData[[#This Row],[YearsAtCompany]]&lt;=5,"3-5 yrs",TRUE,"5+ yrs")</f>
        <v>3-5 yrs</v>
      </c>
    </row>
    <row r="1218" spans="1:36" x14ac:dyDescent="0.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_xlfn.IFS(HrData[[#This Row],[YearsAtCompany]]&lt;=2,"0-2 yrs",HrData[[#This Row],[YearsAtCompany]]&lt;=5,"3-5 yrs",TRUE,"5+ yrs")</f>
        <v>5+ yrs</v>
      </c>
    </row>
    <row r="1219" spans="1:36" x14ac:dyDescent="0.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_xlfn.IFS(HrData[[#This Row],[YearsAtCompany]]&lt;=2,"0-2 yrs",HrData[[#This Row],[YearsAtCompany]]&lt;=5,"3-5 yrs",TRUE,"5+ yrs")</f>
        <v>3-5 yrs</v>
      </c>
    </row>
    <row r="1220" spans="1:36" x14ac:dyDescent="0.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_xlfn.IFS(HrData[[#This Row],[YearsAtCompany]]&lt;=2,"0-2 yrs",HrData[[#This Row],[YearsAtCompany]]&lt;=5,"3-5 yrs",TRUE,"5+ yrs")</f>
        <v>5+ yrs</v>
      </c>
    </row>
    <row r="1221" spans="1:36" x14ac:dyDescent="0.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_xlfn.IFS(HrData[[#This Row],[YearsAtCompany]]&lt;=2,"0-2 yrs",HrData[[#This Row],[YearsAtCompany]]&lt;=5,"3-5 yrs",TRUE,"5+ yrs")</f>
        <v>3-5 yrs</v>
      </c>
    </row>
    <row r="1222" spans="1:36" x14ac:dyDescent="0.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_xlfn.IFS(HrData[[#This Row],[YearsAtCompany]]&lt;=2,"0-2 yrs",HrData[[#This Row],[YearsAtCompany]]&lt;=5,"3-5 yrs",TRUE,"5+ yrs")</f>
        <v>5+ yrs</v>
      </c>
    </row>
    <row r="1223" spans="1:36" x14ac:dyDescent="0.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_xlfn.IFS(HrData[[#This Row],[YearsAtCompany]]&lt;=2,"0-2 yrs",HrData[[#This Row],[YearsAtCompany]]&lt;=5,"3-5 yrs",TRUE,"5+ yrs")</f>
        <v>5+ yrs</v>
      </c>
    </row>
    <row r="1224" spans="1:36" x14ac:dyDescent="0.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_xlfn.IFS(HrData[[#This Row],[YearsAtCompany]]&lt;=2,"0-2 yrs",HrData[[#This Row],[YearsAtCompany]]&lt;=5,"3-5 yrs",TRUE,"5+ yrs")</f>
        <v>0-2 yrs</v>
      </c>
    </row>
    <row r="1225" spans="1:36" x14ac:dyDescent="0.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_xlfn.IFS(HrData[[#This Row],[YearsAtCompany]]&lt;=2,"0-2 yrs",HrData[[#This Row],[YearsAtCompany]]&lt;=5,"3-5 yrs",TRUE,"5+ yrs")</f>
        <v>5+ yrs</v>
      </c>
    </row>
    <row r="1226" spans="1:36" x14ac:dyDescent="0.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_xlfn.IFS(HrData[[#This Row],[YearsAtCompany]]&lt;=2,"0-2 yrs",HrData[[#This Row],[YearsAtCompany]]&lt;=5,"3-5 yrs",TRUE,"5+ yrs")</f>
        <v>3-5 yrs</v>
      </c>
    </row>
    <row r="1227" spans="1:36" x14ac:dyDescent="0.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_xlfn.IFS(HrData[[#This Row],[YearsAtCompany]]&lt;=2,"0-2 yrs",HrData[[#This Row],[YearsAtCompany]]&lt;=5,"3-5 yrs",TRUE,"5+ yrs")</f>
        <v>5+ yrs</v>
      </c>
    </row>
    <row r="1228" spans="1:36" x14ac:dyDescent="0.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_xlfn.IFS(HrData[[#This Row],[YearsAtCompany]]&lt;=2,"0-2 yrs",HrData[[#This Row],[YearsAtCompany]]&lt;=5,"3-5 yrs",TRUE,"5+ yrs")</f>
        <v>3-5 yrs</v>
      </c>
    </row>
    <row r="1229" spans="1:36" x14ac:dyDescent="0.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_xlfn.IFS(HrData[[#This Row],[YearsAtCompany]]&lt;=2,"0-2 yrs",HrData[[#This Row],[YearsAtCompany]]&lt;=5,"3-5 yrs",TRUE,"5+ yrs")</f>
        <v>3-5 yrs</v>
      </c>
    </row>
    <row r="1230" spans="1:36" x14ac:dyDescent="0.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_xlfn.IFS(HrData[[#This Row],[YearsAtCompany]]&lt;=2,"0-2 yrs",HrData[[#This Row],[YearsAtCompany]]&lt;=5,"3-5 yrs",TRUE,"5+ yrs")</f>
        <v>3-5 yrs</v>
      </c>
    </row>
    <row r="1231" spans="1:36" x14ac:dyDescent="0.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_xlfn.IFS(HrData[[#This Row],[YearsAtCompany]]&lt;=2,"0-2 yrs",HrData[[#This Row],[YearsAtCompany]]&lt;=5,"3-5 yrs",TRUE,"5+ yrs")</f>
        <v>0-2 yrs</v>
      </c>
    </row>
    <row r="1232" spans="1:36" x14ac:dyDescent="0.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_xlfn.IFS(HrData[[#This Row],[YearsAtCompany]]&lt;=2,"0-2 yrs",HrData[[#This Row],[YearsAtCompany]]&lt;=5,"3-5 yrs",TRUE,"5+ yrs")</f>
        <v>5+ yrs</v>
      </c>
    </row>
    <row r="1233" spans="1:36" x14ac:dyDescent="0.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_xlfn.IFS(HrData[[#This Row],[YearsAtCompany]]&lt;=2,"0-2 yrs",HrData[[#This Row],[YearsAtCompany]]&lt;=5,"3-5 yrs",TRUE,"5+ yrs")</f>
        <v>5+ yrs</v>
      </c>
    </row>
    <row r="1234" spans="1:36" x14ac:dyDescent="0.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_xlfn.IFS(HrData[[#This Row],[YearsAtCompany]]&lt;=2,"0-2 yrs",HrData[[#This Row],[YearsAtCompany]]&lt;=5,"3-5 yrs",TRUE,"5+ yrs")</f>
        <v>5+ yrs</v>
      </c>
    </row>
    <row r="1235" spans="1:36" x14ac:dyDescent="0.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_xlfn.IFS(HrData[[#This Row],[YearsAtCompany]]&lt;=2,"0-2 yrs",HrData[[#This Row],[YearsAtCompany]]&lt;=5,"3-5 yrs",TRUE,"5+ yrs")</f>
        <v>5+ yrs</v>
      </c>
    </row>
    <row r="1236" spans="1:36" x14ac:dyDescent="0.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_xlfn.IFS(HrData[[#This Row],[YearsAtCompany]]&lt;=2,"0-2 yrs",HrData[[#This Row],[YearsAtCompany]]&lt;=5,"3-5 yrs",TRUE,"5+ yrs")</f>
        <v>0-2 yrs</v>
      </c>
    </row>
    <row r="1237" spans="1:36" x14ac:dyDescent="0.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_xlfn.IFS(HrData[[#This Row],[YearsAtCompany]]&lt;=2,"0-2 yrs",HrData[[#This Row],[YearsAtCompany]]&lt;=5,"3-5 yrs",TRUE,"5+ yrs")</f>
        <v>5+ yrs</v>
      </c>
    </row>
    <row r="1238" spans="1:36" x14ac:dyDescent="0.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_xlfn.IFS(HrData[[#This Row],[YearsAtCompany]]&lt;=2,"0-2 yrs",HrData[[#This Row],[YearsAtCompany]]&lt;=5,"3-5 yrs",TRUE,"5+ yrs")</f>
        <v>0-2 yrs</v>
      </c>
    </row>
    <row r="1239" spans="1:36" x14ac:dyDescent="0.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_xlfn.IFS(HrData[[#This Row],[YearsAtCompany]]&lt;=2,"0-2 yrs",HrData[[#This Row],[YearsAtCompany]]&lt;=5,"3-5 yrs",TRUE,"5+ yrs")</f>
        <v>0-2 yrs</v>
      </c>
    </row>
    <row r="1240" spans="1:36" x14ac:dyDescent="0.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_xlfn.IFS(HrData[[#This Row],[YearsAtCompany]]&lt;=2,"0-2 yrs",HrData[[#This Row],[YearsAtCompany]]&lt;=5,"3-5 yrs",TRUE,"5+ yrs")</f>
        <v>3-5 yrs</v>
      </c>
    </row>
    <row r="1241" spans="1:36" x14ac:dyDescent="0.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_xlfn.IFS(HrData[[#This Row],[YearsAtCompany]]&lt;=2,"0-2 yrs",HrData[[#This Row],[YearsAtCompany]]&lt;=5,"3-5 yrs",TRUE,"5+ yrs")</f>
        <v>3-5 yrs</v>
      </c>
    </row>
    <row r="1242" spans="1:36" x14ac:dyDescent="0.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_xlfn.IFS(HrData[[#This Row],[YearsAtCompany]]&lt;=2,"0-2 yrs",HrData[[#This Row],[YearsAtCompany]]&lt;=5,"3-5 yrs",TRUE,"5+ yrs")</f>
        <v>5+ yrs</v>
      </c>
    </row>
    <row r="1243" spans="1:36" x14ac:dyDescent="0.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_xlfn.IFS(HrData[[#This Row],[YearsAtCompany]]&lt;=2,"0-2 yrs",HrData[[#This Row],[YearsAtCompany]]&lt;=5,"3-5 yrs",TRUE,"5+ yrs")</f>
        <v>3-5 yrs</v>
      </c>
    </row>
    <row r="1244" spans="1:36" x14ac:dyDescent="0.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_xlfn.IFS(HrData[[#This Row],[YearsAtCompany]]&lt;=2,"0-2 yrs",HrData[[#This Row],[YearsAtCompany]]&lt;=5,"3-5 yrs",TRUE,"5+ yrs")</f>
        <v>5+ yrs</v>
      </c>
    </row>
    <row r="1245" spans="1:36" x14ac:dyDescent="0.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_xlfn.IFS(HrData[[#This Row],[YearsAtCompany]]&lt;=2,"0-2 yrs",HrData[[#This Row],[YearsAtCompany]]&lt;=5,"3-5 yrs",TRUE,"5+ yrs")</f>
        <v>3-5 yrs</v>
      </c>
    </row>
    <row r="1246" spans="1:36" x14ac:dyDescent="0.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_xlfn.IFS(HrData[[#This Row],[YearsAtCompany]]&lt;=2,"0-2 yrs",HrData[[#This Row],[YearsAtCompany]]&lt;=5,"3-5 yrs",TRUE,"5+ yrs")</f>
        <v>5+ yrs</v>
      </c>
    </row>
    <row r="1247" spans="1:36" x14ac:dyDescent="0.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_xlfn.IFS(HrData[[#This Row],[YearsAtCompany]]&lt;=2,"0-2 yrs",HrData[[#This Row],[YearsAtCompany]]&lt;=5,"3-5 yrs",TRUE,"5+ yrs")</f>
        <v>0-2 yrs</v>
      </c>
    </row>
    <row r="1248" spans="1:36" x14ac:dyDescent="0.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_xlfn.IFS(HrData[[#This Row],[YearsAtCompany]]&lt;=2,"0-2 yrs",HrData[[#This Row],[YearsAtCompany]]&lt;=5,"3-5 yrs",TRUE,"5+ yrs")</f>
        <v>3-5 yrs</v>
      </c>
    </row>
    <row r="1249" spans="1:36" x14ac:dyDescent="0.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_xlfn.IFS(HrData[[#This Row],[YearsAtCompany]]&lt;=2,"0-2 yrs",HrData[[#This Row],[YearsAtCompany]]&lt;=5,"3-5 yrs",TRUE,"5+ yrs")</f>
        <v>3-5 yrs</v>
      </c>
    </row>
    <row r="1250" spans="1:36" x14ac:dyDescent="0.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_xlfn.IFS(HrData[[#This Row],[YearsAtCompany]]&lt;=2,"0-2 yrs",HrData[[#This Row],[YearsAtCompany]]&lt;=5,"3-5 yrs",TRUE,"5+ yrs")</f>
        <v>5+ yrs</v>
      </c>
    </row>
    <row r="1251" spans="1:36" x14ac:dyDescent="0.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_xlfn.IFS(HrData[[#This Row],[YearsAtCompany]]&lt;=2,"0-2 yrs",HrData[[#This Row],[YearsAtCompany]]&lt;=5,"3-5 yrs",TRUE,"5+ yrs")</f>
        <v>0-2 yrs</v>
      </c>
    </row>
    <row r="1252" spans="1:36" x14ac:dyDescent="0.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_xlfn.IFS(HrData[[#This Row],[YearsAtCompany]]&lt;=2,"0-2 yrs",HrData[[#This Row],[YearsAtCompany]]&lt;=5,"3-5 yrs",TRUE,"5+ yrs")</f>
        <v>3-5 yrs</v>
      </c>
    </row>
    <row r="1253" spans="1:36" x14ac:dyDescent="0.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_xlfn.IFS(HrData[[#This Row],[YearsAtCompany]]&lt;=2,"0-2 yrs",HrData[[#This Row],[YearsAtCompany]]&lt;=5,"3-5 yrs",TRUE,"5+ yrs")</f>
        <v>5+ yrs</v>
      </c>
    </row>
    <row r="1254" spans="1:36" x14ac:dyDescent="0.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_xlfn.IFS(HrData[[#This Row],[YearsAtCompany]]&lt;=2,"0-2 yrs",HrData[[#This Row],[YearsAtCompany]]&lt;=5,"3-5 yrs",TRUE,"5+ yrs")</f>
        <v>3-5 yrs</v>
      </c>
    </row>
    <row r="1255" spans="1:36" x14ac:dyDescent="0.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_xlfn.IFS(HrData[[#This Row],[YearsAtCompany]]&lt;=2,"0-2 yrs",HrData[[#This Row],[YearsAtCompany]]&lt;=5,"3-5 yrs",TRUE,"5+ yrs")</f>
        <v>5+ yrs</v>
      </c>
    </row>
    <row r="1256" spans="1:36" x14ac:dyDescent="0.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_xlfn.IFS(HrData[[#This Row],[YearsAtCompany]]&lt;=2,"0-2 yrs",HrData[[#This Row],[YearsAtCompany]]&lt;=5,"3-5 yrs",TRUE,"5+ yrs")</f>
        <v>3-5 yrs</v>
      </c>
    </row>
    <row r="1257" spans="1:36" x14ac:dyDescent="0.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_xlfn.IFS(HrData[[#This Row],[YearsAtCompany]]&lt;=2,"0-2 yrs",HrData[[#This Row],[YearsAtCompany]]&lt;=5,"3-5 yrs",TRUE,"5+ yrs")</f>
        <v>0-2 yrs</v>
      </c>
    </row>
    <row r="1258" spans="1:36" x14ac:dyDescent="0.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_xlfn.IFS(HrData[[#This Row],[YearsAtCompany]]&lt;=2,"0-2 yrs",HrData[[#This Row],[YearsAtCompany]]&lt;=5,"3-5 yrs",TRUE,"5+ yrs")</f>
        <v>5+ yrs</v>
      </c>
    </row>
    <row r="1259" spans="1:36" x14ac:dyDescent="0.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_xlfn.IFS(HrData[[#This Row],[YearsAtCompany]]&lt;=2,"0-2 yrs",HrData[[#This Row],[YearsAtCompany]]&lt;=5,"3-5 yrs",TRUE,"5+ yrs")</f>
        <v>0-2 yrs</v>
      </c>
    </row>
    <row r="1260" spans="1:36" x14ac:dyDescent="0.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_xlfn.IFS(HrData[[#This Row],[YearsAtCompany]]&lt;=2,"0-2 yrs",HrData[[#This Row],[YearsAtCompany]]&lt;=5,"3-5 yrs",TRUE,"5+ yrs")</f>
        <v>0-2 yrs</v>
      </c>
    </row>
    <row r="1261" spans="1:36" x14ac:dyDescent="0.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_xlfn.IFS(HrData[[#This Row],[YearsAtCompany]]&lt;=2,"0-2 yrs",HrData[[#This Row],[YearsAtCompany]]&lt;=5,"3-5 yrs",TRUE,"5+ yrs")</f>
        <v>5+ yrs</v>
      </c>
    </row>
    <row r="1262" spans="1:36" x14ac:dyDescent="0.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_xlfn.IFS(HrData[[#This Row],[YearsAtCompany]]&lt;=2,"0-2 yrs",HrData[[#This Row],[YearsAtCompany]]&lt;=5,"3-5 yrs",TRUE,"5+ yrs")</f>
        <v>5+ yrs</v>
      </c>
    </row>
    <row r="1263" spans="1:36" x14ac:dyDescent="0.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_xlfn.IFS(HrData[[#This Row],[YearsAtCompany]]&lt;=2,"0-2 yrs",HrData[[#This Row],[YearsAtCompany]]&lt;=5,"3-5 yrs",TRUE,"5+ yrs")</f>
        <v>0-2 yrs</v>
      </c>
    </row>
    <row r="1264" spans="1:36" x14ac:dyDescent="0.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_xlfn.IFS(HrData[[#This Row],[YearsAtCompany]]&lt;=2,"0-2 yrs",HrData[[#This Row],[YearsAtCompany]]&lt;=5,"3-5 yrs",TRUE,"5+ yrs")</f>
        <v>0-2 yrs</v>
      </c>
    </row>
    <row r="1265" spans="1:36" x14ac:dyDescent="0.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_xlfn.IFS(HrData[[#This Row],[YearsAtCompany]]&lt;=2,"0-2 yrs",HrData[[#This Row],[YearsAtCompany]]&lt;=5,"3-5 yrs",TRUE,"5+ yrs")</f>
        <v>3-5 yrs</v>
      </c>
    </row>
    <row r="1266" spans="1:36" x14ac:dyDescent="0.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_xlfn.IFS(HrData[[#This Row],[YearsAtCompany]]&lt;=2,"0-2 yrs",HrData[[#This Row],[YearsAtCompany]]&lt;=5,"3-5 yrs",TRUE,"5+ yrs")</f>
        <v>0-2 yrs</v>
      </c>
    </row>
    <row r="1267" spans="1:36" x14ac:dyDescent="0.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_xlfn.IFS(HrData[[#This Row],[YearsAtCompany]]&lt;=2,"0-2 yrs",HrData[[#This Row],[YearsAtCompany]]&lt;=5,"3-5 yrs",TRUE,"5+ yrs")</f>
        <v>5+ yrs</v>
      </c>
    </row>
    <row r="1268" spans="1:36" x14ac:dyDescent="0.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_xlfn.IFS(HrData[[#This Row],[YearsAtCompany]]&lt;=2,"0-2 yrs",HrData[[#This Row],[YearsAtCompany]]&lt;=5,"3-5 yrs",TRUE,"5+ yrs")</f>
        <v>3-5 yrs</v>
      </c>
    </row>
    <row r="1269" spans="1:36" x14ac:dyDescent="0.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_xlfn.IFS(HrData[[#This Row],[YearsAtCompany]]&lt;=2,"0-2 yrs",HrData[[#This Row],[YearsAtCompany]]&lt;=5,"3-5 yrs",TRUE,"5+ yrs")</f>
        <v>5+ yrs</v>
      </c>
    </row>
    <row r="1270" spans="1:36" x14ac:dyDescent="0.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_xlfn.IFS(HrData[[#This Row],[YearsAtCompany]]&lt;=2,"0-2 yrs",HrData[[#This Row],[YearsAtCompany]]&lt;=5,"3-5 yrs",TRUE,"5+ yrs")</f>
        <v>3-5 yrs</v>
      </c>
    </row>
    <row r="1271" spans="1:36" x14ac:dyDescent="0.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_xlfn.IFS(HrData[[#This Row],[YearsAtCompany]]&lt;=2,"0-2 yrs",HrData[[#This Row],[YearsAtCompany]]&lt;=5,"3-5 yrs",TRUE,"5+ yrs")</f>
        <v>5+ yrs</v>
      </c>
    </row>
    <row r="1272" spans="1:36" x14ac:dyDescent="0.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_xlfn.IFS(HrData[[#This Row],[YearsAtCompany]]&lt;=2,"0-2 yrs",HrData[[#This Row],[YearsAtCompany]]&lt;=5,"3-5 yrs",TRUE,"5+ yrs")</f>
        <v>0-2 yrs</v>
      </c>
    </row>
    <row r="1273" spans="1:36" x14ac:dyDescent="0.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_xlfn.IFS(HrData[[#This Row],[YearsAtCompany]]&lt;=2,"0-2 yrs",HrData[[#This Row],[YearsAtCompany]]&lt;=5,"3-5 yrs",TRUE,"5+ yrs")</f>
        <v>0-2 yrs</v>
      </c>
    </row>
    <row r="1274" spans="1:36" x14ac:dyDescent="0.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_xlfn.IFS(HrData[[#This Row],[YearsAtCompany]]&lt;=2,"0-2 yrs",HrData[[#This Row],[YearsAtCompany]]&lt;=5,"3-5 yrs",TRUE,"5+ yrs")</f>
        <v>3-5 yrs</v>
      </c>
    </row>
    <row r="1275" spans="1:36" x14ac:dyDescent="0.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_xlfn.IFS(HrData[[#This Row],[YearsAtCompany]]&lt;=2,"0-2 yrs",HrData[[#This Row],[YearsAtCompany]]&lt;=5,"3-5 yrs",TRUE,"5+ yrs")</f>
        <v>0-2 yrs</v>
      </c>
    </row>
    <row r="1276" spans="1:36" x14ac:dyDescent="0.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_xlfn.IFS(HrData[[#This Row],[YearsAtCompany]]&lt;=2,"0-2 yrs",HrData[[#This Row],[YearsAtCompany]]&lt;=5,"3-5 yrs",TRUE,"5+ yrs")</f>
        <v>5+ yrs</v>
      </c>
    </row>
    <row r="1277" spans="1:36" x14ac:dyDescent="0.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_xlfn.IFS(HrData[[#This Row],[YearsAtCompany]]&lt;=2,"0-2 yrs",HrData[[#This Row],[YearsAtCompany]]&lt;=5,"3-5 yrs",TRUE,"5+ yrs")</f>
        <v>0-2 yrs</v>
      </c>
    </row>
    <row r="1278" spans="1:36" x14ac:dyDescent="0.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_xlfn.IFS(HrData[[#This Row],[YearsAtCompany]]&lt;=2,"0-2 yrs",HrData[[#This Row],[YearsAtCompany]]&lt;=5,"3-5 yrs",TRUE,"5+ yrs")</f>
        <v>3-5 yrs</v>
      </c>
    </row>
    <row r="1279" spans="1:36" x14ac:dyDescent="0.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_xlfn.IFS(HrData[[#This Row],[YearsAtCompany]]&lt;=2,"0-2 yrs",HrData[[#This Row],[YearsAtCompany]]&lt;=5,"3-5 yrs",TRUE,"5+ yrs")</f>
        <v>0-2 yrs</v>
      </c>
    </row>
    <row r="1280" spans="1:36" x14ac:dyDescent="0.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_xlfn.IFS(HrData[[#This Row],[YearsAtCompany]]&lt;=2,"0-2 yrs",HrData[[#This Row],[YearsAtCompany]]&lt;=5,"3-5 yrs",TRUE,"5+ yrs")</f>
        <v>5+ yrs</v>
      </c>
    </row>
    <row r="1281" spans="1:36" x14ac:dyDescent="0.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_xlfn.IFS(HrData[[#This Row],[YearsAtCompany]]&lt;=2,"0-2 yrs",HrData[[#This Row],[YearsAtCompany]]&lt;=5,"3-5 yrs",TRUE,"5+ yrs")</f>
        <v>3-5 yrs</v>
      </c>
    </row>
    <row r="1282" spans="1:36" x14ac:dyDescent="0.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_xlfn.IFS(HrData[[#This Row],[YearsAtCompany]]&lt;=2,"0-2 yrs",HrData[[#This Row],[YearsAtCompany]]&lt;=5,"3-5 yrs",TRUE,"5+ yrs")</f>
        <v>5+ yrs</v>
      </c>
    </row>
    <row r="1283" spans="1:36" x14ac:dyDescent="0.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_xlfn.IFS(HrData[[#This Row],[YearsAtCompany]]&lt;=2,"0-2 yrs",HrData[[#This Row],[YearsAtCompany]]&lt;=5,"3-5 yrs",TRUE,"5+ yrs")</f>
        <v>5+ yrs</v>
      </c>
    </row>
    <row r="1284" spans="1:36" x14ac:dyDescent="0.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_xlfn.IFS(HrData[[#This Row],[YearsAtCompany]]&lt;=2,"0-2 yrs",HrData[[#This Row],[YearsAtCompany]]&lt;=5,"3-5 yrs",TRUE,"5+ yrs")</f>
        <v>5+ yrs</v>
      </c>
    </row>
    <row r="1285" spans="1:36" x14ac:dyDescent="0.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_xlfn.IFS(HrData[[#This Row],[YearsAtCompany]]&lt;=2,"0-2 yrs",HrData[[#This Row],[YearsAtCompany]]&lt;=5,"3-5 yrs",TRUE,"5+ yrs")</f>
        <v>3-5 yrs</v>
      </c>
    </row>
    <row r="1286" spans="1:36" x14ac:dyDescent="0.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_xlfn.IFS(HrData[[#This Row],[YearsAtCompany]]&lt;=2,"0-2 yrs",HrData[[#This Row],[YearsAtCompany]]&lt;=5,"3-5 yrs",TRUE,"5+ yrs")</f>
        <v>3-5 yrs</v>
      </c>
    </row>
    <row r="1287" spans="1:36" x14ac:dyDescent="0.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_xlfn.IFS(HrData[[#This Row],[YearsAtCompany]]&lt;=2,"0-2 yrs",HrData[[#This Row],[YearsAtCompany]]&lt;=5,"3-5 yrs",TRUE,"5+ yrs")</f>
        <v>0-2 yrs</v>
      </c>
    </row>
    <row r="1288" spans="1:36" x14ac:dyDescent="0.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_xlfn.IFS(HrData[[#This Row],[YearsAtCompany]]&lt;=2,"0-2 yrs",HrData[[#This Row],[YearsAtCompany]]&lt;=5,"3-5 yrs",TRUE,"5+ yrs")</f>
        <v>3-5 yrs</v>
      </c>
    </row>
    <row r="1289" spans="1:36" x14ac:dyDescent="0.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_xlfn.IFS(HrData[[#This Row],[YearsAtCompany]]&lt;=2,"0-2 yrs",HrData[[#This Row],[YearsAtCompany]]&lt;=5,"3-5 yrs",TRUE,"5+ yrs")</f>
        <v>0-2 yrs</v>
      </c>
    </row>
    <row r="1290" spans="1:36" x14ac:dyDescent="0.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_xlfn.IFS(HrData[[#This Row],[YearsAtCompany]]&lt;=2,"0-2 yrs",HrData[[#This Row],[YearsAtCompany]]&lt;=5,"3-5 yrs",TRUE,"5+ yrs")</f>
        <v>5+ yrs</v>
      </c>
    </row>
    <row r="1291" spans="1:36" x14ac:dyDescent="0.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_xlfn.IFS(HrData[[#This Row],[YearsAtCompany]]&lt;=2,"0-2 yrs",HrData[[#This Row],[YearsAtCompany]]&lt;=5,"3-5 yrs",TRUE,"5+ yrs")</f>
        <v>5+ yrs</v>
      </c>
    </row>
    <row r="1292" spans="1:36" x14ac:dyDescent="0.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_xlfn.IFS(HrData[[#This Row],[YearsAtCompany]]&lt;=2,"0-2 yrs",HrData[[#This Row],[YearsAtCompany]]&lt;=5,"3-5 yrs",TRUE,"5+ yrs")</f>
        <v>5+ yrs</v>
      </c>
    </row>
    <row r="1293" spans="1:36" x14ac:dyDescent="0.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_xlfn.IFS(HrData[[#This Row],[YearsAtCompany]]&lt;=2,"0-2 yrs",HrData[[#This Row],[YearsAtCompany]]&lt;=5,"3-5 yrs",TRUE,"5+ yrs")</f>
        <v>5+ yrs</v>
      </c>
    </row>
    <row r="1294" spans="1:36" x14ac:dyDescent="0.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_xlfn.IFS(HrData[[#This Row],[YearsAtCompany]]&lt;=2,"0-2 yrs",HrData[[#This Row],[YearsAtCompany]]&lt;=5,"3-5 yrs",TRUE,"5+ yrs")</f>
        <v>0-2 yrs</v>
      </c>
    </row>
    <row r="1295" spans="1:36" x14ac:dyDescent="0.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_xlfn.IFS(HrData[[#This Row],[YearsAtCompany]]&lt;=2,"0-2 yrs",HrData[[#This Row],[YearsAtCompany]]&lt;=5,"3-5 yrs",TRUE,"5+ yrs")</f>
        <v>3-5 yrs</v>
      </c>
    </row>
    <row r="1296" spans="1:36" x14ac:dyDescent="0.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_xlfn.IFS(HrData[[#This Row],[YearsAtCompany]]&lt;=2,"0-2 yrs",HrData[[#This Row],[YearsAtCompany]]&lt;=5,"3-5 yrs",TRUE,"5+ yrs")</f>
        <v>3-5 yrs</v>
      </c>
    </row>
    <row r="1297" spans="1:36" x14ac:dyDescent="0.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_xlfn.IFS(HrData[[#This Row],[YearsAtCompany]]&lt;=2,"0-2 yrs",HrData[[#This Row],[YearsAtCompany]]&lt;=5,"3-5 yrs",TRUE,"5+ yrs")</f>
        <v>5+ yrs</v>
      </c>
    </row>
    <row r="1298" spans="1:36" x14ac:dyDescent="0.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_xlfn.IFS(HrData[[#This Row],[YearsAtCompany]]&lt;=2,"0-2 yrs",HrData[[#This Row],[YearsAtCompany]]&lt;=5,"3-5 yrs",TRUE,"5+ yrs")</f>
        <v>5+ yrs</v>
      </c>
    </row>
    <row r="1299" spans="1:36" x14ac:dyDescent="0.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_xlfn.IFS(HrData[[#This Row],[YearsAtCompany]]&lt;=2,"0-2 yrs",HrData[[#This Row],[YearsAtCompany]]&lt;=5,"3-5 yrs",TRUE,"5+ yrs")</f>
        <v>3-5 yrs</v>
      </c>
    </row>
    <row r="1300" spans="1:36" x14ac:dyDescent="0.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_xlfn.IFS(HrData[[#This Row],[YearsAtCompany]]&lt;=2,"0-2 yrs",HrData[[#This Row],[YearsAtCompany]]&lt;=5,"3-5 yrs",TRUE,"5+ yrs")</f>
        <v>5+ yrs</v>
      </c>
    </row>
    <row r="1301" spans="1:36" x14ac:dyDescent="0.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_xlfn.IFS(HrData[[#This Row],[YearsAtCompany]]&lt;=2,"0-2 yrs",HrData[[#This Row],[YearsAtCompany]]&lt;=5,"3-5 yrs",TRUE,"5+ yrs")</f>
        <v>3-5 yrs</v>
      </c>
    </row>
    <row r="1302" spans="1:36" x14ac:dyDescent="0.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_xlfn.IFS(HrData[[#This Row],[YearsAtCompany]]&lt;=2,"0-2 yrs",HrData[[#This Row],[YearsAtCompany]]&lt;=5,"3-5 yrs",TRUE,"5+ yrs")</f>
        <v>5+ yrs</v>
      </c>
    </row>
    <row r="1303" spans="1:36" x14ac:dyDescent="0.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_xlfn.IFS(HrData[[#This Row],[YearsAtCompany]]&lt;=2,"0-2 yrs",HrData[[#This Row],[YearsAtCompany]]&lt;=5,"3-5 yrs",TRUE,"5+ yrs")</f>
        <v>5+ yrs</v>
      </c>
    </row>
    <row r="1304" spans="1:36" x14ac:dyDescent="0.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_xlfn.IFS(HrData[[#This Row],[YearsAtCompany]]&lt;=2,"0-2 yrs",HrData[[#This Row],[YearsAtCompany]]&lt;=5,"3-5 yrs",TRUE,"5+ yrs")</f>
        <v>3-5 yrs</v>
      </c>
    </row>
    <row r="1305" spans="1:36" x14ac:dyDescent="0.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_xlfn.IFS(HrData[[#This Row],[YearsAtCompany]]&lt;=2,"0-2 yrs",HrData[[#This Row],[YearsAtCompany]]&lt;=5,"3-5 yrs",TRUE,"5+ yrs")</f>
        <v>5+ yrs</v>
      </c>
    </row>
    <row r="1306" spans="1:36" x14ac:dyDescent="0.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_xlfn.IFS(HrData[[#This Row],[YearsAtCompany]]&lt;=2,"0-2 yrs",HrData[[#This Row],[YearsAtCompany]]&lt;=5,"3-5 yrs",TRUE,"5+ yrs")</f>
        <v>5+ yrs</v>
      </c>
    </row>
    <row r="1307" spans="1:36" x14ac:dyDescent="0.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_xlfn.IFS(HrData[[#This Row],[YearsAtCompany]]&lt;=2,"0-2 yrs",HrData[[#This Row],[YearsAtCompany]]&lt;=5,"3-5 yrs",TRUE,"5+ yrs")</f>
        <v>5+ yrs</v>
      </c>
    </row>
    <row r="1308" spans="1:36" x14ac:dyDescent="0.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_xlfn.IFS(HrData[[#This Row],[YearsAtCompany]]&lt;=2,"0-2 yrs",HrData[[#This Row],[YearsAtCompany]]&lt;=5,"3-5 yrs",TRUE,"5+ yrs")</f>
        <v>3-5 yrs</v>
      </c>
    </row>
    <row r="1309" spans="1:36" x14ac:dyDescent="0.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_xlfn.IFS(HrData[[#This Row],[YearsAtCompany]]&lt;=2,"0-2 yrs",HrData[[#This Row],[YearsAtCompany]]&lt;=5,"3-5 yrs",TRUE,"5+ yrs")</f>
        <v>3-5 yrs</v>
      </c>
    </row>
    <row r="1310" spans="1:36" x14ac:dyDescent="0.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_xlfn.IFS(HrData[[#This Row],[YearsAtCompany]]&lt;=2,"0-2 yrs",HrData[[#This Row],[YearsAtCompany]]&lt;=5,"3-5 yrs",TRUE,"5+ yrs")</f>
        <v>3-5 yrs</v>
      </c>
    </row>
    <row r="1311" spans="1:36" x14ac:dyDescent="0.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_xlfn.IFS(HrData[[#This Row],[YearsAtCompany]]&lt;=2,"0-2 yrs",HrData[[#This Row],[YearsAtCompany]]&lt;=5,"3-5 yrs",TRUE,"5+ yrs")</f>
        <v>3-5 yrs</v>
      </c>
    </row>
    <row r="1312" spans="1:36" x14ac:dyDescent="0.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_xlfn.IFS(HrData[[#This Row],[YearsAtCompany]]&lt;=2,"0-2 yrs",HrData[[#This Row],[YearsAtCompany]]&lt;=5,"3-5 yrs",TRUE,"5+ yrs")</f>
        <v>0-2 yrs</v>
      </c>
    </row>
    <row r="1313" spans="1:36" x14ac:dyDescent="0.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_xlfn.IFS(HrData[[#This Row],[YearsAtCompany]]&lt;=2,"0-2 yrs",HrData[[#This Row],[YearsAtCompany]]&lt;=5,"3-5 yrs",TRUE,"5+ yrs")</f>
        <v>0-2 yrs</v>
      </c>
    </row>
    <row r="1314" spans="1:36" x14ac:dyDescent="0.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_xlfn.IFS(HrData[[#This Row],[YearsAtCompany]]&lt;=2,"0-2 yrs",HrData[[#This Row],[YearsAtCompany]]&lt;=5,"3-5 yrs",TRUE,"5+ yrs")</f>
        <v>0-2 yrs</v>
      </c>
    </row>
    <row r="1315" spans="1:36" x14ac:dyDescent="0.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_xlfn.IFS(HrData[[#This Row],[YearsAtCompany]]&lt;=2,"0-2 yrs",HrData[[#This Row],[YearsAtCompany]]&lt;=5,"3-5 yrs",TRUE,"5+ yrs")</f>
        <v>0-2 yrs</v>
      </c>
    </row>
    <row r="1316" spans="1:36" x14ac:dyDescent="0.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_xlfn.IFS(HrData[[#This Row],[YearsAtCompany]]&lt;=2,"0-2 yrs",HrData[[#This Row],[YearsAtCompany]]&lt;=5,"3-5 yrs",TRUE,"5+ yrs")</f>
        <v>5+ yrs</v>
      </c>
    </row>
    <row r="1317" spans="1:36" x14ac:dyDescent="0.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_xlfn.IFS(HrData[[#This Row],[YearsAtCompany]]&lt;=2,"0-2 yrs",HrData[[#This Row],[YearsAtCompany]]&lt;=5,"3-5 yrs",TRUE,"5+ yrs")</f>
        <v>0-2 yrs</v>
      </c>
    </row>
    <row r="1318" spans="1:36" x14ac:dyDescent="0.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_xlfn.IFS(HrData[[#This Row],[YearsAtCompany]]&lt;=2,"0-2 yrs",HrData[[#This Row],[YearsAtCompany]]&lt;=5,"3-5 yrs",TRUE,"5+ yrs")</f>
        <v>5+ yrs</v>
      </c>
    </row>
    <row r="1319" spans="1:36" x14ac:dyDescent="0.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_xlfn.IFS(HrData[[#This Row],[YearsAtCompany]]&lt;=2,"0-2 yrs",HrData[[#This Row],[YearsAtCompany]]&lt;=5,"3-5 yrs",TRUE,"5+ yrs")</f>
        <v>3-5 yrs</v>
      </c>
    </row>
    <row r="1320" spans="1:36" x14ac:dyDescent="0.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_xlfn.IFS(HrData[[#This Row],[YearsAtCompany]]&lt;=2,"0-2 yrs",HrData[[#This Row],[YearsAtCompany]]&lt;=5,"3-5 yrs",TRUE,"5+ yrs")</f>
        <v>5+ yrs</v>
      </c>
    </row>
    <row r="1321" spans="1:36" x14ac:dyDescent="0.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_xlfn.IFS(HrData[[#This Row],[YearsAtCompany]]&lt;=2,"0-2 yrs",HrData[[#This Row],[YearsAtCompany]]&lt;=5,"3-5 yrs",TRUE,"5+ yrs")</f>
        <v>0-2 yrs</v>
      </c>
    </row>
    <row r="1322" spans="1:36" x14ac:dyDescent="0.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_xlfn.IFS(HrData[[#This Row],[YearsAtCompany]]&lt;=2,"0-2 yrs",HrData[[#This Row],[YearsAtCompany]]&lt;=5,"3-5 yrs",TRUE,"5+ yrs")</f>
        <v>5+ yrs</v>
      </c>
    </row>
    <row r="1323" spans="1:36" x14ac:dyDescent="0.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_xlfn.IFS(HrData[[#This Row],[YearsAtCompany]]&lt;=2,"0-2 yrs",HrData[[#This Row],[YearsAtCompany]]&lt;=5,"3-5 yrs",TRUE,"5+ yrs")</f>
        <v>0-2 yrs</v>
      </c>
    </row>
    <row r="1324" spans="1:36" x14ac:dyDescent="0.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_xlfn.IFS(HrData[[#This Row],[YearsAtCompany]]&lt;=2,"0-2 yrs",HrData[[#This Row],[YearsAtCompany]]&lt;=5,"3-5 yrs",TRUE,"5+ yrs")</f>
        <v>5+ yrs</v>
      </c>
    </row>
    <row r="1325" spans="1:36" x14ac:dyDescent="0.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_xlfn.IFS(HrData[[#This Row],[YearsAtCompany]]&lt;=2,"0-2 yrs",HrData[[#This Row],[YearsAtCompany]]&lt;=5,"3-5 yrs",TRUE,"5+ yrs")</f>
        <v>3-5 yrs</v>
      </c>
    </row>
    <row r="1326" spans="1:36" x14ac:dyDescent="0.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_xlfn.IFS(HrData[[#This Row],[YearsAtCompany]]&lt;=2,"0-2 yrs",HrData[[#This Row],[YearsAtCompany]]&lt;=5,"3-5 yrs",TRUE,"5+ yrs")</f>
        <v>5+ yrs</v>
      </c>
    </row>
    <row r="1327" spans="1:36" x14ac:dyDescent="0.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_xlfn.IFS(HrData[[#This Row],[YearsAtCompany]]&lt;=2,"0-2 yrs",HrData[[#This Row],[YearsAtCompany]]&lt;=5,"3-5 yrs",TRUE,"5+ yrs")</f>
        <v>0-2 yrs</v>
      </c>
    </row>
    <row r="1328" spans="1:36" x14ac:dyDescent="0.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_xlfn.IFS(HrData[[#This Row],[YearsAtCompany]]&lt;=2,"0-2 yrs",HrData[[#This Row],[YearsAtCompany]]&lt;=5,"3-5 yrs",TRUE,"5+ yrs")</f>
        <v>0-2 yrs</v>
      </c>
    </row>
    <row r="1329" spans="1:36" x14ac:dyDescent="0.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_xlfn.IFS(HrData[[#This Row],[YearsAtCompany]]&lt;=2,"0-2 yrs",HrData[[#This Row],[YearsAtCompany]]&lt;=5,"3-5 yrs",TRUE,"5+ yrs")</f>
        <v>5+ yrs</v>
      </c>
    </row>
    <row r="1330" spans="1:36" x14ac:dyDescent="0.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_xlfn.IFS(HrData[[#This Row],[YearsAtCompany]]&lt;=2,"0-2 yrs",HrData[[#This Row],[YearsAtCompany]]&lt;=5,"3-5 yrs",TRUE,"5+ yrs")</f>
        <v>5+ yrs</v>
      </c>
    </row>
    <row r="1331" spans="1:36" x14ac:dyDescent="0.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_xlfn.IFS(HrData[[#This Row],[YearsAtCompany]]&lt;=2,"0-2 yrs",HrData[[#This Row],[YearsAtCompany]]&lt;=5,"3-5 yrs",TRUE,"5+ yrs")</f>
        <v>0-2 yrs</v>
      </c>
    </row>
    <row r="1332" spans="1:36" x14ac:dyDescent="0.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_xlfn.IFS(HrData[[#This Row],[YearsAtCompany]]&lt;=2,"0-2 yrs",HrData[[#This Row],[YearsAtCompany]]&lt;=5,"3-5 yrs",TRUE,"5+ yrs")</f>
        <v>5+ yrs</v>
      </c>
    </row>
    <row r="1333" spans="1:36" x14ac:dyDescent="0.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_xlfn.IFS(HrData[[#This Row],[YearsAtCompany]]&lt;=2,"0-2 yrs",HrData[[#This Row],[YearsAtCompany]]&lt;=5,"3-5 yrs",TRUE,"5+ yrs")</f>
        <v>5+ yrs</v>
      </c>
    </row>
    <row r="1334" spans="1:36" x14ac:dyDescent="0.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_xlfn.IFS(HrData[[#This Row],[YearsAtCompany]]&lt;=2,"0-2 yrs",HrData[[#This Row],[YearsAtCompany]]&lt;=5,"3-5 yrs",TRUE,"5+ yrs")</f>
        <v>0-2 yrs</v>
      </c>
    </row>
    <row r="1335" spans="1:36" x14ac:dyDescent="0.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_xlfn.IFS(HrData[[#This Row],[YearsAtCompany]]&lt;=2,"0-2 yrs",HrData[[#This Row],[YearsAtCompany]]&lt;=5,"3-5 yrs",TRUE,"5+ yrs")</f>
        <v>5+ yrs</v>
      </c>
    </row>
    <row r="1336" spans="1:36" x14ac:dyDescent="0.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_xlfn.IFS(HrData[[#This Row],[YearsAtCompany]]&lt;=2,"0-2 yrs",HrData[[#This Row],[YearsAtCompany]]&lt;=5,"3-5 yrs",TRUE,"5+ yrs")</f>
        <v>5+ yrs</v>
      </c>
    </row>
    <row r="1337" spans="1:36" x14ac:dyDescent="0.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_xlfn.IFS(HrData[[#This Row],[YearsAtCompany]]&lt;=2,"0-2 yrs",HrData[[#This Row],[YearsAtCompany]]&lt;=5,"3-5 yrs",TRUE,"5+ yrs")</f>
        <v>0-2 yrs</v>
      </c>
    </row>
    <row r="1338" spans="1:36" x14ac:dyDescent="0.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_xlfn.IFS(HrData[[#This Row],[YearsAtCompany]]&lt;=2,"0-2 yrs",HrData[[#This Row],[YearsAtCompany]]&lt;=5,"3-5 yrs",TRUE,"5+ yrs")</f>
        <v>3-5 yrs</v>
      </c>
    </row>
    <row r="1339" spans="1:36" x14ac:dyDescent="0.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_xlfn.IFS(HrData[[#This Row],[YearsAtCompany]]&lt;=2,"0-2 yrs",HrData[[#This Row],[YearsAtCompany]]&lt;=5,"3-5 yrs",TRUE,"5+ yrs")</f>
        <v>0-2 yrs</v>
      </c>
    </row>
    <row r="1340" spans="1:36" x14ac:dyDescent="0.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_xlfn.IFS(HrData[[#This Row],[YearsAtCompany]]&lt;=2,"0-2 yrs",HrData[[#This Row],[YearsAtCompany]]&lt;=5,"3-5 yrs",TRUE,"5+ yrs")</f>
        <v>0-2 yrs</v>
      </c>
    </row>
    <row r="1341" spans="1:36" x14ac:dyDescent="0.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_xlfn.IFS(HrData[[#This Row],[YearsAtCompany]]&lt;=2,"0-2 yrs",HrData[[#This Row],[YearsAtCompany]]&lt;=5,"3-5 yrs",TRUE,"5+ yrs")</f>
        <v>0-2 yrs</v>
      </c>
    </row>
    <row r="1342" spans="1:36" x14ac:dyDescent="0.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_xlfn.IFS(HrData[[#This Row],[YearsAtCompany]]&lt;=2,"0-2 yrs",HrData[[#This Row],[YearsAtCompany]]&lt;=5,"3-5 yrs",TRUE,"5+ yrs")</f>
        <v>5+ yrs</v>
      </c>
    </row>
    <row r="1343" spans="1:36" x14ac:dyDescent="0.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_xlfn.IFS(HrData[[#This Row],[YearsAtCompany]]&lt;=2,"0-2 yrs",HrData[[#This Row],[YearsAtCompany]]&lt;=5,"3-5 yrs",TRUE,"5+ yrs")</f>
        <v>5+ yrs</v>
      </c>
    </row>
    <row r="1344" spans="1:36" x14ac:dyDescent="0.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_xlfn.IFS(HrData[[#This Row],[YearsAtCompany]]&lt;=2,"0-2 yrs",HrData[[#This Row],[YearsAtCompany]]&lt;=5,"3-5 yrs",TRUE,"5+ yrs")</f>
        <v>3-5 yrs</v>
      </c>
    </row>
    <row r="1345" spans="1:36" x14ac:dyDescent="0.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_xlfn.IFS(HrData[[#This Row],[YearsAtCompany]]&lt;=2,"0-2 yrs",HrData[[#This Row],[YearsAtCompany]]&lt;=5,"3-5 yrs",TRUE,"5+ yrs")</f>
        <v>3-5 yrs</v>
      </c>
    </row>
    <row r="1346" spans="1:36" x14ac:dyDescent="0.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_xlfn.IFS(HrData[[#This Row],[YearsAtCompany]]&lt;=2,"0-2 yrs",HrData[[#This Row],[YearsAtCompany]]&lt;=5,"3-5 yrs",TRUE,"5+ yrs")</f>
        <v>3-5 yrs</v>
      </c>
    </row>
    <row r="1347" spans="1:36" x14ac:dyDescent="0.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_xlfn.IFS(HrData[[#This Row],[YearsAtCompany]]&lt;=2,"0-2 yrs",HrData[[#This Row],[YearsAtCompany]]&lt;=5,"3-5 yrs",TRUE,"5+ yrs")</f>
        <v>3-5 yrs</v>
      </c>
    </row>
    <row r="1348" spans="1:36" x14ac:dyDescent="0.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_xlfn.IFS(HrData[[#This Row],[YearsAtCompany]]&lt;=2,"0-2 yrs",HrData[[#This Row],[YearsAtCompany]]&lt;=5,"3-5 yrs",TRUE,"5+ yrs")</f>
        <v>5+ yrs</v>
      </c>
    </row>
    <row r="1349" spans="1:36" x14ac:dyDescent="0.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_xlfn.IFS(HrData[[#This Row],[YearsAtCompany]]&lt;=2,"0-2 yrs",HrData[[#This Row],[YearsAtCompany]]&lt;=5,"3-5 yrs",TRUE,"5+ yrs")</f>
        <v>5+ yrs</v>
      </c>
    </row>
    <row r="1350" spans="1:36" x14ac:dyDescent="0.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_xlfn.IFS(HrData[[#This Row],[YearsAtCompany]]&lt;=2,"0-2 yrs",HrData[[#This Row],[YearsAtCompany]]&lt;=5,"3-5 yrs",TRUE,"5+ yrs")</f>
        <v>5+ yrs</v>
      </c>
    </row>
    <row r="1351" spans="1:36" x14ac:dyDescent="0.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_xlfn.IFS(HrData[[#This Row],[YearsAtCompany]]&lt;=2,"0-2 yrs",HrData[[#This Row],[YearsAtCompany]]&lt;=5,"3-5 yrs",TRUE,"5+ yrs")</f>
        <v>0-2 yrs</v>
      </c>
    </row>
    <row r="1352" spans="1:36" x14ac:dyDescent="0.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_xlfn.IFS(HrData[[#This Row],[YearsAtCompany]]&lt;=2,"0-2 yrs",HrData[[#This Row],[YearsAtCompany]]&lt;=5,"3-5 yrs",TRUE,"5+ yrs")</f>
        <v>5+ yrs</v>
      </c>
    </row>
    <row r="1353" spans="1:36" x14ac:dyDescent="0.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_xlfn.IFS(HrData[[#This Row],[YearsAtCompany]]&lt;=2,"0-2 yrs",HrData[[#This Row],[YearsAtCompany]]&lt;=5,"3-5 yrs",TRUE,"5+ yrs")</f>
        <v>5+ yrs</v>
      </c>
    </row>
    <row r="1354" spans="1:36" x14ac:dyDescent="0.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_xlfn.IFS(HrData[[#This Row],[YearsAtCompany]]&lt;=2,"0-2 yrs",HrData[[#This Row],[YearsAtCompany]]&lt;=5,"3-5 yrs",TRUE,"5+ yrs")</f>
        <v>0-2 yrs</v>
      </c>
    </row>
    <row r="1355" spans="1:36" x14ac:dyDescent="0.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_xlfn.IFS(HrData[[#This Row],[YearsAtCompany]]&lt;=2,"0-2 yrs",HrData[[#This Row],[YearsAtCompany]]&lt;=5,"3-5 yrs",TRUE,"5+ yrs")</f>
        <v>3-5 yrs</v>
      </c>
    </row>
    <row r="1356" spans="1:36" x14ac:dyDescent="0.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_xlfn.IFS(HrData[[#This Row],[YearsAtCompany]]&lt;=2,"0-2 yrs",HrData[[#This Row],[YearsAtCompany]]&lt;=5,"3-5 yrs",TRUE,"5+ yrs")</f>
        <v>3-5 yrs</v>
      </c>
    </row>
    <row r="1357" spans="1:36" x14ac:dyDescent="0.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_xlfn.IFS(HrData[[#This Row],[YearsAtCompany]]&lt;=2,"0-2 yrs",HrData[[#This Row],[YearsAtCompany]]&lt;=5,"3-5 yrs",TRUE,"5+ yrs")</f>
        <v>3-5 yrs</v>
      </c>
    </row>
    <row r="1358" spans="1:36" x14ac:dyDescent="0.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_xlfn.IFS(HrData[[#This Row],[YearsAtCompany]]&lt;=2,"0-2 yrs",HrData[[#This Row],[YearsAtCompany]]&lt;=5,"3-5 yrs",TRUE,"5+ yrs")</f>
        <v>3-5 yrs</v>
      </c>
    </row>
    <row r="1359" spans="1:36" x14ac:dyDescent="0.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_xlfn.IFS(HrData[[#This Row],[YearsAtCompany]]&lt;=2,"0-2 yrs",HrData[[#This Row],[YearsAtCompany]]&lt;=5,"3-5 yrs",TRUE,"5+ yrs")</f>
        <v>5+ yrs</v>
      </c>
    </row>
    <row r="1360" spans="1:36" x14ac:dyDescent="0.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_xlfn.IFS(HrData[[#This Row],[YearsAtCompany]]&lt;=2,"0-2 yrs",HrData[[#This Row],[YearsAtCompany]]&lt;=5,"3-5 yrs",TRUE,"5+ yrs")</f>
        <v>3-5 yrs</v>
      </c>
    </row>
    <row r="1361" spans="1:36" x14ac:dyDescent="0.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_xlfn.IFS(HrData[[#This Row],[YearsAtCompany]]&lt;=2,"0-2 yrs",HrData[[#This Row],[YearsAtCompany]]&lt;=5,"3-5 yrs",TRUE,"5+ yrs")</f>
        <v>3-5 yrs</v>
      </c>
    </row>
    <row r="1362" spans="1:36" x14ac:dyDescent="0.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_xlfn.IFS(HrData[[#This Row],[YearsAtCompany]]&lt;=2,"0-2 yrs",HrData[[#This Row],[YearsAtCompany]]&lt;=5,"3-5 yrs",TRUE,"5+ yrs")</f>
        <v>0-2 yrs</v>
      </c>
    </row>
    <row r="1363" spans="1:36" x14ac:dyDescent="0.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_xlfn.IFS(HrData[[#This Row],[YearsAtCompany]]&lt;=2,"0-2 yrs",HrData[[#This Row],[YearsAtCompany]]&lt;=5,"3-5 yrs",TRUE,"5+ yrs")</f>
        <v>5+ yrs</v>
      </c>
    </row>
    <row r="1364" spans="1:36" x14ac:dyDescent="0.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_xlfn.IFS(HrData[[#This Row],[YearsAtCompany]]&lt;=2,"0-2 yrs",HrData[[#This Row],[YearsAtCompany]]&lt;=5,"3-5 yrs",TRUE,"5+ yrs")</f>
        <v>3-5 yrs</v>
      </c>
    </row>
    <row r="1365" spans="1:36" x14ac:dyDescent="0.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_xlfn.IFS(HrData[[#This Row],[YearsAtCompany]]&lt;=2,"0-2 yrs",HrData[[#This Row],[YearsAtCompany]]&lt;=5,"3-5 yrs",TRUE,"5+ yrs")</f>
        <v>5+ yrs</v>
      </c>
    </row>
    <row r="1366" spans="1:36" x14ac:dyDescent="0.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_xlfn.IFS(HrData[[#This Row],[YearsAtCompany]]&lt;=2,"0-2 yrs",HrData[[#This Row],[YearsAtCompany]]&lt;=5,"3-5 yrs",TRUE,"5+ yrs")</f>
        <v>5+ yrs</v>
      </c>
    </row>
    <row r="1367" spans="1:36" x14ac:dyDescent="0.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_xlfn.IFS(HrData[[#This Row],[YearsAtCompany]]&lt;=2,"0-2 yrs",HrData[[#This Row],[YearsAtCompany]]&lt;=5,"3-5 yrs",TRUE,"5+ yrs")</f>
        <v>0-2 yrs</v>
      </c>
    </row>
    <row r="1368" spans="1:36" x14ac:dyDescent="0.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_xlfn.IFS(HrData[[#This Row],[YearsAtCompany]]&lt;=2,"0-2 yrs",HrData[[#This Row],[YearsAtCompany]]&lt;=5,"3-5 yrs",TRUE,"5+ yrs")</f>
        <v>3-5 yrs</v>
      </c>
    </row>
    <row r="1369" spans="1:36" x14ac:dyDescent="0.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_xlfn.IFS(HrData[[#This Row],[YearsAtCompany]]&lt;=2,"0-2 yrs",HrData[[#This Row],[YearsAtCompany]]&lt;=5,"3-5 yrs",TRUE,"5+ yrs")</f>
        <v>3-5 yrs</v>
      </c>
    </row>
    <row r="1370" spans="1:36" x14ac:dyDescent="0.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_xlfn.IFS(HrData[[#This Row],[YearsAtCompany]]&lt;=2,"0-2 yrs",HrData[[#This Row],[YearsAtCompany]]&lt;=5,"3-5 yrs",TRUE,"5+ yrs")</f>
        <v>5+ yrs</v>
      </c>
    </row>
    <row r="1371" spans="1:36" x14ac:dyDescent="0.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_xlfn.IFS(HrData[[#This Row],[YearsAtCompany]]&lt;=2,"0-2 yrs",HrData[[#This Row],[YearsAtCompany]]&lt;=5,"3-5 yrs",TRUE,"5+ yrs")</f>
        <v>0-2 yrs</v>
      </c>
    </row>
    <row r="1372" spans="1:36" x14ac:dyDescent="0.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_xlfn.IFS(HrData[[#This Row],[YearsAtCompany]]&lt;=2,"0-2 yrs",HrData[[#This Row],[YearsAtCompany]]&lt;=5,"3-5 yrs",TRUE,"5+ yrs")</f>
        <v>5+ yrs</v>
      </c>
    </row>
    <row r="1373" spans="1:36" x14ac:dyDescent="0.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_xlfn.IFS(HrData[[#This Row],[YearsAtCompany]]&lt;=2,"0-2 yrs",HrData[[#This Row],[YearsAtCompany]]&lt;=5,"3-5 yrs",TRUE,"5+ yrs")</f>
        <v>0-2 yrs</v>
      </c>
    </row>
    <row r="1374" spans="1:36" x14ac:dyDescent="0.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_xlfn.IFS(HrData[[#This Row],[YearsAtCompany]]&lt;=2,"0-2 yrs",HrData[[#This Row],[YearsAtCompany]]&lt;=5,"3-5 yrs",TRUE,"5+ yrs")</f>
        <v>5+ yrs</v>
      </c>
    </row>
    <row r="1375" spans="1:36" x14ac:dyDescent="0.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_xlfn.IFS(HrData[[#This Row],[YearsAtCompany]]&lt;=2,"0-2 yrs",HrData[[#This Row],[YearsAtCompany]]&lt;=5,"3-5 yrs",TRUE,"5+ yrs")</f>
        <v>5+ yrs</v>
      </c>
    </row>
    <row r="1376" spans="1:36" x14ac:dyDescent="0.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_xlfn.IFS(HrData[[#This Row],[YearsAtCompany]]&lt;=2,"0-2 yrs",HrData[[#This Row],[YearsAtCompany]]&lt;=5,"3-5 yrs",TRUE,"5+ yrs")</f>
        <v>0-2 yrs</v>
      </c>
    </row>
    <row r="1377" spans="1:36" x14ac:dyDescent="0.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_xlfn.IFS(HrData[[#This Row],[YearsAtCompany]]&lt;=2,"0-2 yrs",HrData[[#This Row],[YearsAtCompany]]&lt;=5,"3-5 yrs",TRUE,"5+ yrs")</f>
        <v>3-5 yrs</v>
      </c>
    </row>
    <row r="1378" spans="1:36" x14ac:dyDescent="0.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_xlfn.IFS(HrData[[#This Row],[YearsAtCompany]]&lt;=2,"0-2 yrs",HrData[[#This Row],[YearsAtCompany]]&lt;=5,"3-5 yrs",TRUE,"5+ yrs")</f>
        <v>3-5 yrs</v>
      </c>
    </row>
    <row r="1379" spans="1:36" x14ac:dyDescent="0.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_xlfn.IFS(HrData[[#This Row],[YearsAtCompany]]&lt;=2,"0-2 yrs",HrData[[#This Row],[YearsAtCompany]]&lt;=5,"3-5 yrs",TRUE,"5+ yrs")</f>
        <v>3-5 yrs</v>
      </c>
    </row>
    <row r="1380" spans="1:36" x14ac:dyDescent="0.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_xlfn.IFS(HrData[[#This Row],[YearsAtCompany]]&lt;=2,"0-2 yrs",HrData[[#This Row],[YearsAtCompany]]&lt;=5,"3-5 yrs",TRUE,"5+ yrs")</f>
        <v>0-2 yrs</v>
      </c>
    </row>
    <row r="1381" spans="1:36" x14ac:dyDescent="0.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_xlfn.IFS(HrData[[#This Row],[YearsAtCompany]]&lt;=2,"0-2 yrs",HrData[[#This Row],[YearsAtCompany]]&lt;=5,"3-5 yrs",TRUE,"5+ yrs")</f>
        <v>0-2 yrs</v>
      </c>
    </row>
    <row r="1382" spans="1:36" x14ac:dyDescent="0.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_xlfn.IFS(HrData[[#This Row],[YearsAtCompany]]&lt;=2,"0-2 yrs",HrData[[#This Row],[YearsAtCompany]]&lt;=5,"3-5 yrs",TRUE,"5+ yrs")</f>
        <v>3-5 yrs</v>
      </c>
    </row>
    <row r="1383" spans="1:36" x14ac:dyDescent="0.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_xlfn.IFS(HrData[[#This Row],[YearsAtCompany]]&lt;=2,"0-2 yrs",HrData[[#This Row],[YearsAtCompany]]&lt;=5,"3-5 yrs",TRUE,"5+ yrs")</f>
        <v>3-5 yrs</v>
      </c>
    </row>
    <row r="1384" spans="1:36" x14ac:dyDescent="0.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_xlfn.IFS(HrData[[#This Row],[YearsAtCompany]]&lt;=2,"0-2 yrs",HrData[[#This Row],[YearsAtCompany]]&lt;=5,"3-5 yrs",TRUE,"5+ yrs")</f>
        <v>3-5 yrs</v>
      </c>
    </row>
    <row r="1385" spans="1:36" x14ac:dyDescent="0.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_xlfn.IFS(HrData[[#This Row],[YearsAtCompany]]&lt;=2,"0-2 yrs",HrData[[#This Row],[YearsAtCompany]]&lt;=5,"3-5 yrs",TRUE,"5+ yrs")</f>
        <v>3-5 yrs</v>
      </c>
    </row>
    <row r="1386" spans="1:36" x14ac:dyDescent="0.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_xlfn.IFS(HrData[[#This Row],[YearsAtCompany]]&lt;=2,"0-2 yrs",HrData[[#This Row],[YearsAtCompany]]&lt;=5,"3-5 yrs",TRUE,"5+ yrs")</f>
        <v>5+ yrs</v>
      </c>
    </row>
    <row r="1387" spans="1:36" x14ac:dyDescent="0.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_xlfn.IFS(HrData[[#This Row],[YearsAtCompany]]&lt;=2,"0-2 yrs",HrData[[#This Row],[YearsAtCompany]]&lt;=5,"3-5 yrs",TRUE,"5+ yrs")</f>
        <v>5+ yrs</v>
      </c>
    </row>
    <row r="1388" spans="1:36" x14ac:dyDescent="0.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_xlfn.IFS(HrData[[#This Row],[YearsAtCompany]]&lt;=2,"0-2 yrs",HrData[[#This Row],[YearsAtCompany]]&lt;=5,"3-5 yrs",TRUE,"5+ yrs")</f>
        <v>5+ yrs</v>
      </c>
    </row>
    <row r="1389" spans="1:36" x14ac:dyDescent="0.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_xlfn.IFS(HrData[[#This Row],[YearsAtCompany]]&lt;=2,"0-2 yrs",HrData[[#This Row],[YearsAtCompany]]&lt;=5,"3-5 yrs",TRUE,"5+ yrs")</f>
        <v>3-5 yrs</v>
      </c>
    </row>
    <row r="1390" spans="1:36" x14ac:dyDescent="0.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_xlfn.IFS(HrData[[#This Row],[YearsAtCompany]]&lt;=2,"0-2 yrs",HrData[[#This Row],[YearsAtCompany]]&lt;=5,"3-5 yrs",TRUE,"5+ yrs")</f>
        <v>3-5 yrs</v>
      </c>
    </row>
    <row r="1391" spans="1:36" x14ac:dyDescent="0.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_xlfn.IFS(HrData[[#This Row],[YearsAtCompany]]&lt;=2,"0-2 yrs",HrData[[#This Row],[YearsAtCompany]]&lt;=5,"3-5 yrs",TRUE,"5+ yrs")</f>
        <v>5+ yrs</v>
      </c>
    </row>
    <row r="1392" spans="1:36" x14ac:dyDescent="0.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_xlfn.IFS(HrData[[#This Row],[YearsAtCompany]]&lt;=2,"0-2 yrs",HrData[[#This Row],[YearsAtCompany]]&lt;=5,"3-5 yrs",TRUE,"5+ yrs")</f>
        <v>3-5 yrs</v>
      </c>
    </row>
    <row r="1393" spans="1:36" x14ac:dyDescent="0.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_xlfn.IFS(HrData[[#This Row],[YearsAtCompany]]&lt;=2,"0-2 yrs",HrData[[#This Row],[YearsAtCompany]]&lt;=5,"3-5 yrs",TRUE,"5+ yrs")</f>
        <v>0-2 yrs</v>
      </c>
    </row>
    <row r="1394" spans="1:36" x14ac:dyDescent="0.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_xlfn.IFS(HrData[[#This Row],[YearsAtCompany]]&lt;=2,"0-2 yrs",HrData[[#This Row],[YearsAtCompany]]&lt;=5,"3-5 yrs",TRUE,"5+ yrs")</f>
        <v>5+ yrs</v>
      </c>
    </row>
    <row r="1395" spans="1:36" x14ac:dyDescent="0.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_xlfn.IFS(HrData[[#This Row],[YearsAtCompany]]&lt;=2,"0-2 yrs",HrData[[#This Row],[YearsAtCompany]]&lt;=5,"3-5 yrs",TRUE,"5+ yrs")</f>
        <v>5+ yrs</v>
      </c>
    </row>
    <row r="1396" spans="1:36" x14ac:dyDescent="0.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_xlfn.IFS(HrData[[#This Row],[YearsAtCompany]]&lt;=2,"0-2 yrs",HrData[[#This Row],[YearsAtCompany]]&lt;=5,"3-5 yrs",TRUE,"5+ yrs")</f>
        <v>0-2 yrs</v>
      </c>
    </row>
    <row r="1397" spans="1:36" x14ac:dyDescent="0.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_xlfn.IFS(HrData[[#This Row],[YearsAtCompany]]&lt;=2,"0-2 yrs",HrData[[#This Row],[YearsAtCompany]]&lt;=5,"3-5 yrs",TRUE,"5+ yrs")</f>
        <v>5+ yrs</v>
      </c>
    </row>
    <row r="1398" spans="1:36" x14ac:dyDescent="0.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_xlfn.IFS(HrData[[#This Row],[YearsAtCompany]]&lt;=2,"0-2 yrs",HrData[[#This Row],[YearsAtCompany]]&lt;=5,"3-5 yrs",TRUE,"5+ yrs")</f>
        <v>0-2 yrs</v>
      </c>
    </row>
    <row r="1399" spans="1:36" x14ac:dyDescent="0.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_xlfn.IFS(HrData[[#This Row],[YearsAtCompany]]&lt;=2,"0-2 yrs",HrData[[#This Row],[YearsAtCompany]]&lt;=5,"3-5 yrs",TRUE,"5+ yrs")</f>
        <v>3-5 yrs</v>
      </c>
    </row>
    <row r="1400" spans="1:36" x14ac:dyDescent="0.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_xlfn.IFS(HrData[[#This Row],[YearsAtCompany]]&lt;=2,"0-2 yrs",HrData[[#This Row],[YearsAtCompany]]&lt;=5,"3-5 yrs",TRUE,"5+ yrs")</f>
        <v>5+ yrs</v>
      </c>
    </row>
    <row r="1401" spans="1:36" x14ac:dyDescent="0.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_xlfn.IFS(HrData[[#This Row],[YearsAtCompany]]&lt;=2,"0-2 yrs",HrData[[#This Row],[YearsAtCompany]]&lt;=5,"3-5 yrs",TRUE,"5+ yrs")</f>
        <v>5+ yrs</v>
      </c>
    </row>
    <row r="1402" spans="1:36" x14ac:dyDescent="0.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_xlfn.IFS(HrData[[#This Row],[YearsAtCompany]]&lt;=2,"0-2 yrs",HrData[[#This Row],[YearsAtCompany]]&lt;=5,"3-5 yrs",TRUE,"5+ yrs")</f>
        <v>5+ yrs</v>
      </c>
    </row>
    <row r="1403" spans="1:36" x14ac:dyDescent="0.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_xlfn.IFS(HrData[[#This Row],[YearsAtCompany]]&lt;=2,"0-2 yrs",HrData[[#This Row],[YearsAtCompany]]&lt;=5,"3-5 yrs",TRUE,"5+ yrs")</f>
        <v>5+ yrs</v>
      </c>
    </row>
    <row r="1404" spans="1:36" x14ac:dyDescent="0.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_xlfn.IFS(HrData[[#This Row],[YearsAtCompany]]&lt;=2,"0-2 yrs",HrData[[#This Row],[YearsAtCompany]]&lt;=5,"3-5 yrs",TRUE,"5+ yrs")</f>
        <v>0-2 yrs</v>
      </c>
    </row>
    <row r="1405" spans="1:36" x14ac:dyDescent="0.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_xlfn.IFS(HrData[[#This Row],[YearsAtCompany]]&lt;=2,"0-2 yrs",HrData[[#This Row],[YearsAtCompany]]&lt;=5,"3-5 yrs",TRUE,"5+ yrs")</f>
        <v>5+ yrs</v>
      </c>
    </row>
    <row r="1406" spans="1:36" x14ac:dyDescent="0.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_xlfn.IFS(HrData[[#This Row],[YearsAtCompany]]&lt;=2,"0-2 yrs",HrData[[#This Row],[YearsAtCompany]]&lt;=5,"3-5 yrs",TRUE,"5+ yrs")</f>
        <v>5+ yrs</v>
      </c>
    </row>
    <row r="1407" spans="1:36" x14ac:dyDescent="0.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_xlfn.IFS(HrData[[#This Row],[YearsAtCompany]]&lt;=2,"0-2 yrs",HrData[[#This Row],[YearsAtCompany]]&lt;=5,"3-5 yrs",TRUE,"5+ yrs")</f>
        <v>5+ yrs</v>
      </c>
    </row>
    <row r="1408" spans="1:36" x14ac:dyDescent="0.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_xlfn.IFS(HrData[[#This Row],[YearsAtCompany]]&lt;=2,"0-2 yrs",HrData[[#This Row],[YearsAtCompany]]&lt;=5,"3-5 yrs",TRUE,"5+ yrs")</f>
        <v>3-5 yrs</v>
      </c>
    </row>
    <row r="1409" spans="1:36" x14ac:dyDescent="0.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_xlfn.IFS(HrData[[#This Row],[YearsAtCompany]]&lt;=2,"0-2 yrs",HrData[[#This Row],[YearsAtCompany]]&lt;=5,"3-5 yrs",TRUE,"5+ yrs")</f>
        <v>3-5 yrs</v>
      </c>
    </row>
    <row r="1410" spans="1:36" x14ac:dyDescent="0.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_xlfn.IFS(HrData[[#This Row],[YearsAtCompany]]&lt;=2,"0-2 yrs",HrData[[#This Row],[YearsAtCompany]]&lt;=5,"3-5 yrs",TRUE,"5+ yrs")</f>
        <v>3-5 yrs</v>
      </c>
    </row>
    <row r="1411" spans="1:36" x14ac:dyDescent="0.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_xlfn.IFS(HrData[[#This Row],[YearsAtCompany]]&lt;=2,"0-2 yrs",HrData[[#This Row],[YearsAtCompany]]&lt;=5,"3-5 yrs",TRUE,"5+ yrs")</f>
        <v>5+ yrs</v>
      </c>
    </row>
    <row r="1412" spans="1:36" x14ac:dyDescent="0.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_xlfn.IFS(HrData[[#This Row],[YearsAtCompany]]&lt;=2,"0-2 yrs",HrData[[#This Row],[YearsAtCompany]]&lt;=5,"3-5 yrs",TRUE,"5+ yrs")</f>
        <v>5+ yrs</v>
      </c>
    </row>
    <row r="1413" spans="1:36" x14ac:dyDescent="0.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_xlfn.IFS(HrData[[#This Row],[YearsAtCompany]]&lt;=2,"0-2 yrs",HrData[[#This Row],[YearsAtCompany]]&lt;=5,"3-5 yrs",TRUE,"5+ yrs")</f>
        <v>0-2 yrs</v>
      </c>
    </row>
    <row r="1414" spans="1:36" x14ac:dyDescent="0.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_xlfn.IFS(HrData[[#This Row],[YearsAtCompany]]&lt;=2,"0-2 yrs",HrData[[#This Row],[YearsAtCompany]]&lt;=5,"3-5 yrs",TRUE,"5+ yrs")</f>
        <v>5+ yrs</v>
      </c>
    </row>
    <row r="1415" spans="1:36" x14ac:dyDescent="0.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_xlfn.IFS(HrData[[#This Row],[YearsAtCompany]]&lt;=2,"0-2 yrs",HrData[[#This Row],[YearsAtCompany]]&lt;=5,"3-5 yrs",TRUE,"5+ yrs")</f>
        <v>0-2 yrs</v>
      </c>
    </row>
    <row r="1416" spans="1:36" x14ac:dyDescent="0.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_xlfn.IFS(HrData[[#This Row],[YearsAtCompany]]&lt;=2,"0-2 yrs",HrData[[#This Row],[YearsAtCompany]]&lt;=5,"3-5 yrs",TRUE,"5+ yrs")</f>
        <v>5+ yrs</v>
      </c>
    </row>
    <row r="1417" spans="1:36" x14ac:dyDescent="0.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_xlfn.IFS(HrData[[#This Row],[YearsAtCompany]]&lt;=2,"0-2 yrs",HrData[[#This Row],[YearsAtCompany]]&lt;=5,"3-5 yrs",TRUE,"5+ yrs")</f>
        <v>0-2 yrs</v>
      </c>
    </row>
    <row r="1418" spans="1:36" x14ac:dyDescent="0.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_xlfn.IFS(HrData[[#This Row],[YearsAtCompany]]&lt;=2,"0-2 yrs",HrData[[#This Row],[YearsAtCompany]]&lt;=5,"3-5 yrs",TRUE,"5+ yrs")</f>
        <v>5+ yrs</v>
      </c>
    </row>
    <row r="1419" spans="1:36" x14ac:dyDescent="0.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_xlfn.IFS(HrData[[#This Row],[YearsAtCompany]]&lt;=2,"0-2 yrs",HrData[[#This Row],[YearsAtCompany]]&lt;=5,"3-5 yrs",TRUE,"5+ yrs")</f>
        <v>0-2 yrs</v>
      </c>
    </row>
    <row r="1420" spans="1:36" x14ac:dyDescent="0.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_xlfn.IFS(HrData[[#This Row],[YearsAtCompany]]&lt;=2,"0-2 yrs",HrData[[#This Row],[YearsAtCompany]]&lt;=5,"3-5 yrs",TRUE,"5+ yrs")</f>
        <v>5+ yrs</v>
      </c>
    </row>
    <row r="1421" spans="1:36" x14ac:dyDescent="0.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_xlfn.IFS(HrData[[#This Row],[YearsAtCompany]]&lt;=2,"0-2 yrs",HrData[[#This Row],[YearsAtCompany]]&lt;=5,"3-5 yrs",TRUE,"5+ yrs")</f>
        <v>3-5 yrs</v>
      </c>
    </row>
    <row r="1422" spans="1:36" x14ac:dyDescent="0.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_xlfn.IFS(HrData[[#This Row],[YearsAtCompany]]&lt;=2,"0-2 yrs",HrData[[#This Row],[YearsAtCompany]]&lt;=5,"3-5 yrs",TRUE,"5+ yrs")</f>
        <v>3-5 yrs</v>
      </c>
    </row>
    <row r="1423" spans="1:36" x14ac:dyDescent="0.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_xlfn.IFS(HrData[[#This Row],[YearsAtCompany]]&lt;=2,"0-2 yrs",HrData[[#This Row],[YearsAtCompany]]&lt;=5,"3-5 yrs",TRUE,"5+ yrs")</f>
        <v>5+ yrs</v>
      </c>
    </row>
    <row r="1424" spans="1:36" x14ac:dyDescent="0.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_xlfn.IFS(HrData[[#This Row],[YearsAtCompany]]&lt;=2,"0-2 yrs",HrData[[#This Row],[YearsAtCompany]]&lt;=5,"3-5 yrs",TRUE,"5+ yrs")</f>
        <v>0-2 yrs</v>
      </c>
    </row>
    <row r="1425" spans="1:36" x14ac:dyDescent="0.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_xlfn.IFS(HrData[[#This Row],[YearsAtCompany]]&lt;=2,"0-2 yrs",HrData[[#This Row],[YearsAtCompany]]&lt;=5,"3-5 yrs",TRUE,"5+ yrs")</f>
        <v>3-5 yrs</v>
      </c>
    </row>
    <row r="1426" spans="1:36" x14ac:dyDescent="0.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_xlfn.IFS(HrData[[#This Row],[YearsAtCompany]]&lt;=2,"0-2 yrs",HrData[[#This Row],[YearsAtCompany]]&lt;=5,"3-5 yrs",TRUE,"5+ yrs")</f>
        <v>5+ yrs</v>
      </c>
    </row>
    <row r="1427" spans="1:36" x14ac:dyDescent="0.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_xlfn.IFS(HrData[[#This Row],[YearsAtCompany]]&lt;=2,"0-2 yrs",HrData[[#This Row],[YearsAtCompany]]&lt;=5,"3-5 yrs",TRUE,"5+ yrs")</f>
        <v>5+ yrs</v>
      </c>
    </row>
    <row r="1428" spans="1:36" x14ac:dyDescent="0.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_xlfn.IFS(HrData[[#This Row],[YearsAtCompany]]&lt;=2,"0-2 yrs",HrData[[#This Row],[YearsAtCompany]]&lt;=5,"3-5 yrs",TRUE,"5+ yrs")</f>
        <v>5+ yrs</v>
      </c>
    </row>
    <row r="1429" spans="1:36" x14ac:dyDescent="0.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_xlfn.IFS(HrData[[#This Row],[YearsAtCompany]]&lt;=2,"0-2 yrs",HrData[[#This Row],[YearsAtCompany]]&lt;=5,"3-5 yrs",TRUE,"5+ yrs")</f>
        <v>0-2 yrs</v>
      </c>
    </row>
    <row r="1430" spans="1:36" x14ac:dyDescent="0.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_xlfn.IFS(HrData[[#This Row],[YearsAtCompany]]&lt;=2,"0-2 yrs",HrData[[#This Row],[YearsAtCompany]]&lt;=5,"3-5 yrs",TRUE,"5+ yrs")</f>
        <v>0-2 yrs</v>
      </c>
    </row>
    <row r="1431" spans="1:36" x14ac:dyDescent="0.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_xlfn.IFS(HrData[[#This Row],[YearsAtCompany]]&lt;=2,"0-2 yrs",HrData[[#This Row],[YearsAtCompany]]&lt;=5,"3-5 yrs",TRUE,"5+ yrs")</f>
        <v>5+ yrs</v>
      </c>
    </row>
    <row r="1432" spans="1:36" x14ac:dyDescent="0.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_xlfn.IFS(HrData[[#This Row],[YearsAtCompany]]&lt;=2,"0-2 yrs",HrData[[#This Row],[YearsAtCompany]]&lt;=5,"3-5 yrs",TRUE,"5+ yrs")</f>
        <v>5+ yrs</v>
      </c>
    </row>
    <row r="1433" spans="1:36" x14ac:dyDescent="0.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_xlfn.IFS(HrData[[#This Row],[YearsAtCompany]]&lt;=2,"0-2 yrs",HrData[[#This Row],[YearsAtCompany]]&lt;=5,"3-5 yrs",TRUE,"5+ yrs")</f>
        <v>5+ yrs</v>
      </c>
    </row>
    <row r="1434" spans="1:36" x14ac:dyDescent="0.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_xlfn.IFS(HrData[[#This Row],[YearsAtCompany]]&lt;=2,"0-2 yrs",HrData[[#This Row],[YearsAtCompany]]&lt;=5,"3-5 yrs",TRUE,"5+ yrs")</f>
        <v>5+ yrs</v>
      </c>
    </row>
    <row r="1435" spans="1:36" x14ac:dyDescent="0.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_xlfn.IFS(HrData[[#This Row],[YearsAtCompany]]&lt;=2,"0-2 yrs",HrData[[#This Row],[YearsAtCompany]]&lt;=5,"3-5 yrs",TRUE,"5+ yrs")</f>
        <v>3-5 yrs</v>
      </c>
    </row>
    <row r="1436" spans="1:36" x14ac:dyDescent="0.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_xlfn.IFS(HrData[[#This Row],[YearsAtCompany]]&lt;=2,"0-2 yrs",HrData[[#This Row],[YearsAtCompany]]&lt;=5,"3-5 yrs",TRUE,"5+ yrs")</f>
        <v>5+ yrs</v>
      </c>
    </row>
    <row r="1437" spans="1:36" x14ac:dyDescent="0.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_xlfn.IFS(HrData[[#This Row],[YearsAtCompany]]&lt;=2,"0-2 yrs",HrData[[#This Row],[YearsAtCompany]]&lt;=5,"3-5 yrs",TRUE,"5+ yrs")</f>
        <v>3-5 yrs</v>
      </c>
    </row>
    <row r="1438" spans="1:36" x14ac:dyDescent="0.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_xlfn.IFS(HrData[[#This Row],[YearsAtCompany]]&lt;=2,"0-2 yrs",HrData[[#This Row],[YearsAtCompany]]&lt;=5,"3-5 yrs",TRUE,"5+ yrs")</f>
        <v>0-2 yrs</v>
      </c>
    </row>
    <row r="1439" spans="1:36" x14ac:dyDescent="0.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_xlfn.IFS(HrData[[#This Row],[YearsAtCompany]]&lt;=2,"0-2 yrs",HrData[[#This Row],[YearsAtCompany]]&lt;=5,"3-5 yrs",TRUE,"5+ yrs")</f>
        <v>5+ yrs</v>
      </c>
    </row>
    <row r="1440" spans="1:36" x14ac:dyDescent="0.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_xlfn.IFS(HrData[[#This Row],[YearsAtCompany]]&lt;=2,"0-2 yrs",HrData[[#This Row],[YearsAtCompany]]&lt;=5,"3-5 yrs",TRUE,"5+ yrs")</f>
        <v>0-2 yrs</v>
      </c>
    </row>
    <row r="1441" spans="1:36" x14ac:dyDescent="0.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_xlfn.IFS(HrData[[#This Row],[YearsAtCompany]]&lt;=2,"0-2 yrs",HrData[[#This Row],[YearsAtCompany]]&lt;=5,"3-5 yrs",TRUE,"5+ yrs")</f>
        <v>5+ yrs</v>
      </c>
    </row>
    <row r="1442" spans="1:36" x14ac:dyDescent="0.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_xlfn.IFS(HrData[[#This Row],[YearsAtCompany]]&lt;=2,"0-2 yrs",HrData[[#This Row],[YearsAtCompany]]&lt;=5,"3-5 yrs",TRUE,"5+ yrs")</f>
        <v>3-5 yrs</v>
      </c>
    </row>
    <row r="1443" spans="1:36" x14ac:dyDescent="0.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_xlfn.IFS(HrData[[#This Row],[YearsAtCompany]]&lt;=2,"0-2 yrs",HrData[[#This Row],[YearsAtCompany]]&lt;=5,"3-5 yrs",TRUE,"5+ yrs")</f>
        <v>5+ yrs</v>
      </c>
    </row>
    <row r="1444" spans="1:36" x14ac:dyDescent="0.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_xlfn.IFS(HrData[[#This Row],[YearsAtCompany]]&lt;=2,"0-2 yrs",HrData[[#This Row],[YearsAtCompany]]&lt;=5,"3-5 yrs",TRUE,"5+ yrs")</f>
        <v>0-2 yrs</v>
      </c>
    </row>
    <row r="1445" spans="1:36" x14ac:dyDescent="0.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_xlfn.IFS(HrData[[#This Row],[YearsAtCompany]]&lt;=2,"0-2 yrs",HrData[[#This Row],[YearsAtCompany]]&lt;=5,"3-5 yrs",TRUE,"5+ yrs")</f>
        <v>5+ yrs</v>
      </c>
    </row>
    <row r="1446" spans="1:36" x14ac:dyDescent="0.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_xlfn.IFS(HrData[[#This Row],[YearsAtCompany]]&lt;=2,"0-2 yrs",HrData[[#This Row],[YearsAtCompany]]&lt;=5,"3-5 yrs",TRUE,"5+ yrs")</f>
        <v>5+ yrs</v>
      </c>
    </row>
    <row r="1447" spans="1:36" x14ac:dyDescent="0.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_xlfn.IFS(HrData[[#This Row],[YearsAtCompany]]&lt;=2,"0-2 yrs",HrData[[#This Row],[YearsAtCompany]]&lt;=5,"3-5 yrs",TRUE,"5+ yrs")</f>
        <v>5+ yrs</v>
      </c>
    </row>
    <row r="1448" spans="1:36" x14ac:dyDescent="0.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_xlfn.IFS(HrData[[#This Row],[YearsAtCompany]]&lt;=2,"0-2 yrs",HrData[[#This Row],[YearsAtCompany]]&lt;=5,"3-5 yrs",TRUE,"5+ yrs")</f>
        <v>5+ yrs</v>
      </c>
    </row>
    <row r="1449" spans="1:36" x14ac:dyDescent="0.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_xlfn.IFS(HrData[[#This Row],[YearsAtCompany]]&lt;=2,"0-2 yrs",HrData[[#This Row],[YearsAtCompany]]&lt;=5,"3-5 yrs",TRUE,"5+ yrs")</f>
        <v>5+ yrs</v>
      </c>
    </row>
    <row r="1450" spans="1:36" x14ac:dyDescent="0.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_xlfn.IFS(HrData[[#This Row],[YearsAtCompany]]&lt;=2,"0-2 yrs",HrData[[#This Row],[YearsAtCompany]]&lt;=5,"3-5 yrs",TRUE,"5+ yrs")</f>
        <v>3-5 yrs</v>
      </c>
    </row>
    <row r="1451" spans="1:36" x14ac:dyDescent="0.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_xlfn.IFS(HrData[[#This Row],[YearsAtCompany]]&lt;=2,"0-2 yrs",HrData[[#This Row],[YearsAtCompany]]&lt;=5,"3-5 yrs",TRUE,"5+ yrs")</f>
        <v>3-5 yrs</v>
      </c>
    </row>
    <row r="1452" spans="1:36" x14ac:dyDescent="0.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_xlfn.IFS(HrData[[#This Row],[YearsAtCompany]]&lt;=2,"0-2 yrs",HrData[[#This Row],[YearsAtCompany]]&lt;=5,"3-5 yrs",TRUE,"5+ yrs")</f>
        <v>5+ yrs</v>
      </c>
    </row>
    <row r="1453" spans="1:36" x14ac:dyDescent="0.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_xlfn.IFS(HrData[[#This Row],[YearsAtCompany]]&lt;=2,"0-2 yrs",HrData[[#This Row],[YearsAtCompany]]&lt;=5,"3-5 yrs",TRUE,"5+ yrs")</f>
        <v>5+ yrs</v>
      </c>
    </row>
    <row r="1454" spans="1:36" x14ac:dyDescent="0.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_xlfn.IFS(HrData[[#This Row],[YearsAtCompany]]&lt;=2,"0-2 yrs",HrData[[#This Row],[YearsAtCompany]]&lt;=5,"3-5 yrs",TRUE,"5+ yrs")</f>
        <v>5+ yrs</v>
      </c>
    </row>
    <row r="1455" spans="1:36" x14ac:dyDescent="0.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_xlfn.IFS(HrData[[#This Row],[YearsAtCompany]]&lt;=2,"0-2 yrs",HrData[[#This Row],[YearsAtCompany]]&lt;=5,"3-5 yrs",TRUE,"5+ yrs")</f>
        <v>5+ yrs</v>
      </c>
    </row>
    <row r="1456" spans="1:36" x14ac:dyDescent="0.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_xlfn.IFS(HrData[[#This Row],[YearsAtCompany]]&lt;=2,"0-2 yrs",HrData[[#This Row],[YearsAtCompany]]&lt;=5,"3-5 yrs",TRUE,"5+ yrs")</f>
        <v>3-5 yrs</v>
      </c>
    </row>
    <row r="1457" spans="1:36" x14ac:dyDescent="0.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_xlfn.IFS(HrData[[#This Row],[YearsAtCompany]]&lt;=2,"0-2 yrs",HrData[[#This Row],[YearsAtCompany]]&lt;=5,"3-5 yrs",TRUE,"5+ yrs")</f>
        <v>0-2 yrs</v>
      </c>
    </row>
    <row r="1458" spans="1:36" x14ac:dyDescent="0.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_xlfn.IFS(HrData[[#This Row],[YearsAtCompany]]&lt;=2,"0-2 yrs",HrData[[#This Row],[YearsAtCompany]]&lt;=5,"3-5 yrs",TRUE,"5+ yrs")</f>
        <v>5+ yrs</v>
      </c>
    </row>
    <row r="1459" spans="1:36" x14ac:dyDescent="0.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_xlfn.IFS(HrData[[#This Row],[YearsAtCompany]]&lt;=2,"0-2 yrs",HrData[[#This Row],[YearsAtCompany]]&lt;=5,"3-5 yrs",TRUE,"5+ yrs")</f>
        <v>3-5 yrs</v>
      </c>
    </row>
    <row r="1460" spans="1:36" x14ac:dyDescent="0.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_xlfn.IFS(HrData[[#This Row],[YearsAtCompany]]&lt;=2,"0-2 yrs",HrData[[#This Row],[YearsAtCompany]]&lt;=5,"3-5 yrs",TRUE,"5+ yrs")</f>
        <v>3-5 yrs</v>
      </c>
    </row>
    <row r="1461" spans="1:36" x14ac:dyDescent="0.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_xlfn.IFS(HrData[[#This Row],[YearsAtCompany]]&lt;=2,"0-2 yrs",HrData[[#This Row],[YearsAtCompany]]&lt;=5,"3-5 yrs",TRUE,"5+ yrs")</f>
        <v>3-5 yrs</v>
      </c>
    </row>
    <row r="1462" spans="1:36" x14ac:dyDescent="0.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_xlfn.IFS(HrData[[#This Row],[YearsAtCompany]]&lt;=2,"0-2 yrs",HrData[[#This Row],[YearsAtCompany]]&lt;=5,"3-5 yrs",TRUE,"5+ yrs")</f>
        <v>3-5 yrs</v>
      </c>
    </row>
    <row r="1463" spans="1:36" x14ac:dyDescent="0.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_xlfn.IFS(HrData[[#This Row],[YearsAtCompany]]&lt;=2,"0-2 yrs",HrData[[#This Row],[YearsAtCompany]]&lt;=5,"3-5 yrs",TRUE,"5+ yrs")</f>
        <v>3-5 yrs</v>
      </c>
    </row>
    <row r="1464" spans="1:36" x14ac:dyDescent="0.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_xlfn.IFS(HrData[[#This Row],[YearsAtCompany]]&lt;=2,"0-2 yrs",HrData[[#This Row],[YearsAtCompany]]&lt;=5,"3-5 yrs",TRUE,"5+ yrs")</f>
        <v>5+ yrs</v>
      </c>
    </row>
    <row r="1465" spans="1:36" x14ac:dyDescent="0.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_xlfn.IFS(HrData[[#This Row],[YearsAtCompany]]&lt;=2,"0-2 yrs",HrData[[#This Row],[YearsAtCompany]]&lt;=5,"3-5 yrs",TRUE,"5+ yrs")</f>
        <v>5+ yrs</v>
      </c>
    </row>
    <row r="1466" spans="1:36" x14ac:dyDescent="0.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_xlfn.IFS(HrData[[#This Row],[YearsAtCompany]]&lt;=2,"0-2 yrs",HrData[[#This Row],[YearsAtCompany]]&lt;=5,"3-5 yrs",TRUE,"5+ yrs")</f>
        <v>3-5 yrs</v>
      </c>
    </row>
    <row r="1467" spans="1:36" x14ac:dyDescent="0.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_xlfn.IFS(HrData[[#This Row],[YearsAtCompany]]&lt;=2,"0-2 yrs",HrData[[#This Row],[YearsAtCompany]]&lt;=5,"3-5 yrs",TRUE,"5+ yrs")</f>
        <v>3-5 yrs</v>
      </c>
    </row>
    <row r="1468" spans="1:36" x14ac:dyDescent="0.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_xlfn.IFS(HrData[[#This Row],[YearsAtCompany]]&lt;=2,"0-2 yrs",HrData[[#This Row],[YearsAtCompany]]&lt;=5,"3-5 yrs",TRUE,"5+ yrs")</f>
        <v>5+ yrs</v>
      </c>
    </row>
    <row r="1469" spans="1:36" x14ac:dyDescent="0.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_xlfn.IFS(HrData[[#This Row],[YearsAtCompany]]&lt;=2,"0-2 yrs",HrData[[#This Row],[YearsAtCompany]]&lt;=5,"3-5 yrs",TRUE,"5+ yrs")</f>
        <v>5+ yrs</v>
      </c>
    </row>
    <row r="1470" spans="1:36" x14ac:dyDescent="0.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_xlfn.IFS(HrData[[#This Row],[YearsAtCompany]]&lt;=2,"0-2 yrs",HrData[[#This Row],[YearsAtCompany]]&lt;=5,"3-5 yrs",TRUE,"5+ yrs")</f>
        <v>5+ yrs</v>
      </c>
    </row>
    <row r="1471" spans="1:36" x14ac:dyDescent="0.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_xlfn.IFS(HrData[[#This Row],[YearsAtCompany]]&lt;=2,"0-2 yrs",HrData[[#This Row],[YearsAtCompany]]&lt;=5,"3-5 yrs",TRUE,"5+ yrs")</f>
        <v>3-5 yrs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0B50-3A2E-4960-A87D-2BAD42F8DF89}">
  <dimension ref="A1:C2"/>
  <sheetViews>
    <sheetView workbookViewId="0">
      <selection activeCell="A2" sqref="A2"/>
    </sheetView>
  </sheetViews>
  <sheetFormatPr defaultRowHeight="18" x14ac:dyDescent="0.5"/>
  <cols>
    <col min="1" max="1" width="16.44140625" customWidth="1"/>
    <col min="2" max="2" width="12.6640625" customWidth="1"/>
  </cols>
  <sheetData>
    <row r="1" spans="1:3" x14ac:dyDescent="0.5">
      <c r="A1" t="s">
        <v>63</v>
      </c>
      <c r="B1" t="s">
        <v>4</v>
      </c>
      <c r="C1" t="s">
        <v>4</v>
      </c>
    </row>
    <row r="2" spans="1:3" x14ac:dyDescent="0.5">
      <c r="A2">
        <v>1</v>
      </c>
      <c r="B2" t="str">
        <f>_xlfn.XLOOKUP(A2,HrData[EmployeeNumber],HrData[Department])</f>
        <v>Sales</v>
      </c>
      <c r="C2" t="str">
        <f>INDEX(HrData[Department],MATCH(A2,HrData[EmployeeNumber],0))</f>
        <v>Sales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A0BB-538E-434E-9163-89B3A98E218B}">
  <dimension ref="A1:J8"/>
  <sheetViews>
    <sheetView workbookViewId="0">
      <selection activeCell="B8" sqref="B8"/>
    </sheetView>
  </sheetViews>
  <sheetFormatPr defaultRowHeight="18" x14ac:dyDescent="0.5"/>
  <cols>
    <col min="1" max="1" width="21.33203125" customWidth="1"/>
    <col min="2" max="2" width="17.109375" customWidth="1"/>
    <col min="4" max="4" width="11.5546875" customWidth="1"/>
    <col min="5" max="5" width="10.33203125" customWidth="1"/>
    <col min="6" max="6" width="17.21875" customWidth="1"/>
    <col min="8" max="8" width="17.44140625" customWidth="1"/>
  </cols>
  <sheetData>
    <row r="1" spans="1:10" x14ac:dyDescent="0.5">
      <c r="A1" t="s">
        <v>4</v>
      </c>
      <c r="B1" t="s">
        <v>64</v>
      </c>
      <c r="D1" t="s">
        <v>62</v>
      </c>
      <c r="F1" t="s">
        <v>66</v>
      </c>
      <c r="H1" t="s">
        <v>67</v>
      </c>
      <c r="J1" t="s">
        <v>68</v>
      </c>
    </row>
    <row r="2" spans="1:10" x14ac:dyDescent="0.5">
      <c r="A2" t="s">
        <v>37</v>
      </c>
      <c r="B2">
        <f>COUNTIFS(HrData[Department],A2,HrData[Attrition],"Yes")</f>
        <v>92</v>
      </c>
      <c r="D2" t="s">
        <v>65</v>
      </c>
      <c r="E2">
        <f>COUNTIFS(HrData[Department],A2,HrData[TenureBand],D2,HrData[Attrition],"yes")</f>
        <v>36</v>
      </c>
      <c r="F2">
        <f>COUNTA(HrData[EmployeeNumber])</f>
        <v>1470</v>
      </c>
      <c r="H2">
        <f>COUNTIF(HrData[Attrition],"Yes")</f>
        <v>237</v>
      </c>
      <c r="J2" s="1">
        <f>H2/F2</f>
        <v>0.16122448979591836</v>
      </c>
    </row>
    <row r="3" spans="1:10" x14ac:dyDescent="0.5">
      <c r="A3" t="s">
        <v>45</v>
      </c>
      <c r="B3">
        <f>COUNTIFS(HrData[Department],A3,HrData[Attrition],"Yes")</f>
        <v>133</v>
      </c>
    </row>
    <row r="4" spans="1:10" x14ac:dyDescent="0.5">
      <c r="A4" t="s">
        <v>61</v>
      </c>
      <c r="B4">
        <f>COUNTIFS(HrData[Department],A4,HrData[Attrition],"Yes")</f>
        <v>12</v>
      </c>
    </row>
    <row r="6" spans="1:10" x14ac:dyDescent="0.5">
      <c r="A6" t="s">
        <v>69</v>
      </c>
      <c r="B6">
        <v>31.200000000000031</v>
      </c>
    </row>
    <row r="7" spans="1:10" x14ac:dyDescent="0.5">
      <c r="A7" t="s">
        <v>70</v>
      </c>
      <c r="B7">
        <f>H2-B6</f>
        <v>205.79999999999995</v>
      </c>
    </row>
    <row r="8" spans="1:10" x14ac:dyDescent="0.5">
      <c r="A8" t="s">
        <v>71</v>
      </c>
      <c r="B8">
        <f>B7/F2</f>
        <v>0.13999999999999996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D1F9-486B-49A5-B9DF-E91DA458FBDB}">
  <dimension ref="A1:D5"/>
  <sheetViews>
    <sheetView workbookViewId="0">
      <selection activeCell="F3" sqref="F3"/>
    </sheetView>
  </sheetViews>
  <sheetFormatPr defaultRowHeight="18" x14ac:dyDescent="0.5"/>
  <cols>
    <col min="1" max="1" width="16.21875" customWidth="1"/>
    <col min="2" max="2" width="15.88671875" customWidth="1"/>
    <col min="3" max="3" width="15.33203125" customWidth="1"/>
    <col min="4" max="4" width="12.77734375" customWidth="1"/>
  </cols>
  <sheetData>
    <row r="1" spans="1:4" x14ac:dyDescent="0.5">
      <c r="A1" t="s">
        <v>72</v>
      </c>
      <c r="B1" t="s">
        <v>66</v>
      </c>
      <c r="C1" t="s">
        <v>73</v>
      </c>
      <c r="D1" t="s">
        <v>68</v>
      </c>
    </row>
    <row r="2" spans="1:4" x14ac:dyDescent="0.5">
      <c r="A2">
        <v>1</v>
      </c>
      <c r="B2">
        <f>COUNTIF(HrData[JobSatisfaction],A2)</f>
        <v>289</v>
      </c>
      <c r="C2">
        <f>COUNTIFS(HrData[JobSatisfaction],A2,HrData[Attrition],"Yes")</f>
        <v>66</v>
      </c>
      <c r="D2" s="1">
        <f>C2/B2</f>
        <v>0.22837370242214533</v>
      </c>
    </row>
    <row r="3" spans="1:4" x14ac:dyDescent="0.5">
      <c r="A3">
        <v>2</v>
      </c>
      <c r="B3">
        <f>COUNTIF(HrData[JobSatisfaction],A3)</f>
        <v>280</v>
      </c>
      <c r="C3">
        <f>COUNTIFS(HrData[JobSatisfaction],A3,HrData[Attrition],"Yes")</f>
        <v>46</v>
      </c>
      <c r="D3" s="1">
        <f t="shared" ref="D3:D5" si="0">C3/B3</f>
        <v>0.16428571428571428</v>
      </c>
    </row>
    <row r="4" spans="1:4" x14ac:dyDescent="0.5">
      <c r="A4">
        <v>3</v>
      </c>
      <c r="B4">
        <f>COUNTIF(HrData[JobSatisfaction],A4)</f>
        <v>442</v>
      </c>
      <c r="C4">
        <f>COUNTIFS(HrData[JobSatisfaction],A4,HrData[Attrition],"Yes")</f>
        <v>73</v>
      </c>
      <c r="D4" s="1">
        <f t="shared" si="0"/>
        <v>0.16515837104072398</v>
      </c>
    </row>
    <row r="5" spans="1:4" x14ac:dyDescent="0.5">
      <c r="A5">
        <v>4</v>
      </c>
      <c r="B5">
        <f>COUNTIF(HrData[JobSatisfaction],A5)</f>
        <v>459</v>
      </c>
      <c r="C5">
        <f>COUNTIFS(HrData[JobSatisfaction],A5,HrData[Attrition],"Yes")</f>
        <v>52</v>
      </c>
      <c r="D5" s="1">
        <f t="shared" si="0"/>
        <v>0.11328976034858387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78F2-7E39-4C56-976A-66E391E7B57E}">
  <dimension ref="A1:C3"/>
  <sheetViews>
    <sheetView workbookViewId="0">
      <selection activeCell="C3" sqref="C3"/>
    </sheetView>
  </sheetViews>
  <sheetFormatPr defaultRowHeight="18" x14ac:dyDescent="0.5"/>
  <cols>
    <col min="2" max="2" width="12.6640625" customWidth="1"/>
    <col min="3" max="3" width="24.33203125" customWidth="1"/>
  </cols>
  <sheetData>
    <row r="1" spans="1:3" x14ac:dyDescent="0.5">
      <c r="A1" t="s">
        <v>1</v>
      </c>
      <c r="B1" t="s">
        <v>74</v>
      </c>
      <c r="C1" t="s">
        <v>75</v>
      </c>
    </row>
    <row r="2" spans="1:3" x14ac:dyDescent="0.5">
      <c r="A2" t="s">
        <v>35</v>
      </c>
      <c r="B2">
        <f>COUNTIF(HrData[Attrition],A2)</f>
        <v>237</v>
      </c>
      <c r="C2" s="2">
        <f>AVERAGEIFS(HrData[MonthlyIncome],HrData[Attrition],A2)</f>
        <v>4787.0928270042195</v>
      </c>
    </row>
    <row r="3" spans="1:3" x14ac:dyDescent="0.5">
      <c r="A3" t="s">
        <v>43</v>
      </c>
      <c r="B3">
        <f>COUNTIF(HrData[Attrition],A3)</f>
        <v>1233</v>
      </c>
      <c r="C3" s="2">
        <f>AVERAGEIFS(HrData[MonthlyIncome],HrData[Attrition],A3)</f>
        <v>6832.7396593673966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CACD-FF5C-42DC-8780-F33CDAE2AB46}">
  <dimension ref="A1:E10"/>
  <sheetViews>
    <sheetView workbookViewId="0">
      <selection activeCell="I2" sqref="I2"/>
    </sheetView>
  </sheetViews>
  <sheetFormatPr defaultRowHeight="18" x14ac:dyDescent="0.5"/>
  <cols>
    <col min="1" max="1" width="25.5546875" customWidth="1"/>
    <col min="2" max="2" width="17" customWidth="1"/>
    <col min="3" max="3" width="16.33203125" customWidth="1"/>
    <col min="4" max="4" width="16" customWidth="1"/>
    <col min="5" max="5" width="13.5546875" customWidth="1"/>
  </cols>
  <sheetData>
    <row r="1" spans="1:5" x14ac:dyDescent="0.5">
      <c r="A1" t="s">
        <v>4</v>
      </c>
      <c r="B1" t="s">
        <v>76</v>
      </c>
      <c r="C1" t="s">
        <v>66</v>
      </c>
      <c r="D1" t="s">
        <v>73</v>
      </c>
      <c r="E1" t="s">
        <v>68</v>
      </c>
    </row>
    <row r="2" spans="1:5" x14ac:dyDescent="0.5">
      <c r="A2" t="s">
        <v>37</v>
      </c>
      <c r="B2" t="s">
        <v>65</v>
      </c>
      <c r="C2">
        <f>COUNTIFS(HrData[Department],A2,HrData[TenureBand],B2)</f>
        <v>103</v>
      </c>
      <c r="D2">
        <f>COUNTIFS(HrData[Department],A2,HrData[TenureBand],B2,HrData[Attrition],"Yes")</f>
        <v>36</v>
      </c>
      <c r="E2" s="1">
        <f>IFERROR(D2/C2,0)</f>
        <v>0.34951456310679613</v>
      </c>
    </row>
    <row r="3" spans="1:5" x14ac:dyDescent="0.5">
      <c r="A3" t="s">
        <v>37</v>
      </c>
      <c r="B3" t="s">
        <v>77</v>
      </c>
      <c r="C3">
        <f>COUNTIFS(HrData[Department],A3,HrData[TenureBand],B3)</f>
        <v>117</v>
      </c>
      <c r="D3">
        <f>COUNTIFS(HrData[Department],A3,HrData[TenureBand],B3,HrData[Attrition],"Yes")</f>
        <v>24</v>
      </c>
      <c r="E3" s="1">
        <f t="shared" ref="E3:E10" si="0">IFERROR(D3/C3,0)</f>
        <v>0.20512820512820512</v>
      </c>
    </row>
    <row r="4" spans="1:5" x14ac:dyDescent="0.5">
      <c r="A4" t="s">
        <v>37</v>
      </c>
      <c r="B4" t="s">
        <v>78</v>
      </c>
      <c r="C4">
        <f>COUNTIFS(HrData[Department],A4,HrData[TenureBand],B4)</f>
        <v>226</v>
      </c>
      <c r="D4">
        <f>COUNTIFS(HrData[Department],A4,HrData[TenureBand],B4,HrData[Attrition],"Yes")</f>
        <v>32</v>
      </c>
      <c r="E4" s="1">
        <f t="shared" si="0"/>
        <v>0.1415929203539823</v>
      </c>
    </row>
    <row r="5" spans="1:5" x14ac:dyDescent="0.5">
      <c r="A5" t="s">
        <v>45</v>
      </c>
      <c r="B5" t="s">
        <v>65</v>
      </c>
      <c r="C5">
        <f>COUNTIFS(HrData[Department],A5,HrData[TenureBand],B5)</f>
        <v>226</v>
      </c>
      <c r="D5">
        <f>COUNTIFS(HrData[Department],A5,HrData[TenureBand],B5,HrData[Attrition],"Yes")</f>
        <v>60</v>
      </c>
      <c r="E5" s="1">
        <f t="shared" si="0"/>
        <v>0.26548672566371684</v>
      </c>
    </row>
    <row r="6" spans="1:5" x14ac:dyDescent="0.5">
      <c r="A6" t="s">
        <v>45</v>
      </c>
      <c r="B6" t="s">
        <v>77</v>
      </c>
      <c r="C6">
        <f>COUNTIFS(HrData[Department],A6,HrData[TenureBand],B6)</f>
        <v>294</v>
      </c>
      <c r="D6">
        <f>COUNTIFS(HrData[Department],A6,HrData[TenureBand],B6,HrData[Attrition],"Yes")</f>
        <v>32</v>
      </c>
      <c r="E6" s="1">
        <f t="shared" si="0"/>
        <v>0.10884353741496598</v>
      </c>
    </row>
    <row r="7" spans="1:5" x14ac:dyDescent="0.5">
      <c r="A7" t="s">
        <v>45</v>
      </c>
      <c r="B7" t="s">
        <v>78</v>
      </c>
      <c r="C7">
        <f>COUNTIFS(HrData[Department],A7,HrData[TenureBand],B7)</f>
        <v>441</v>
      </c>
      <c r="D7">
        <f>COUNTIFS(HrData[Department],A7,HrData[TenureBand],B7,HrData[Attrition],"Yes")</f>
        <v>41</v>
      </c>
      <c r="E7" s="1">
        <f t="shared" si="0"/>
        <v>9.297052154195011E-2</v>
      </c>
    </row>
    <row r="8" spans="1:5" x14ac:dyDescent="0.5">
      <c r="A8" t="s">
        <v>61</v>
      </c>
      <c r="B8" t="s">
        <v>65</v>
      </c>
      <c r="C8">
        <f>COUNTIFS(HrData[Department],A8,HrData[TenureBand],B8)</f>
        <v>13</v>
      </c>
      <c r="D8">
        <f>COUNTIFS(HrData[Department],A8,HrData[TenureBand],B8,HrData[Attrition],"Yes")</f>
        <v>6</v>
      </c>
      <c r="E8" s="1">
        <f t="shared" si="0"/>
        <v>0.46153846153846156</v>
      </c>
    </row>
    <row r="9" spans="1:5" x14ac:dyDescent="0.5">
      <c r="A9" t="s">
        <v>61</v>
      </c>
      <c r="B9" t="s">
        <v>77</v>
      </c>
      <c r="C9">
        <f>COUNTIFS(HrData[Department],A9,HrData[TenureBand],B9)</f>
        <v>23</v>
      </c>
      <c r="D9">
        <f>COUNTIFS(HrData[Department],A9,HrData[TenureBand],B9,HrData[Attrition],"Yes")</f>
        <v>4</v>
      </c>
      <c r="E9" s="1">
        <f t="shared" si="0"/>
        <v>0.17391304347826086</v>
      </c>
    </row>
    <row r="10" spans="1:5" x14ac:dyDescent="0.5">
      <c r="A10" t="s">
        <v>61</v>
      </c>
      <c r="B10" t="s">
        <v>78</v>
      </c>
      <c r="C10">
        <f>COUNTIFS(HrData[Department],A10,HrData[TenureBand],B10)</f>
        <v>27</v>
      </c>
      <c r="D10">
        <f>COUNTIFS(HrData[Department],A10,HrData[TenureBand],B10,HrData[Attrition],"Yes")</f>
        <v>2</v>
      </c>
      <c r="E10" s="1">
        <f t="shared" si="0"/>
        <v>7.407407407407407E-2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Pivot_Dept</vt:lpstr>
      <vt:lpstr>Pivot-Jobsat</vt:lpstr>
      <vt:lpstr>Pivot_Income</vt:lpstr>
      <vt:lpstr>HRData Table</vt:lpstr>
      <vt:lpstr>Lookup_Demo</vt:lpstr>
      <vt:lpstr>Attrition_Summary</vt:lpstr>
      <vt:lpstr>Attrition_by_jobsatisfaction</vt:lpstr>
      <vt:lpstr>Income_Attrition</vt:lpstr>
      <vt:lpstr>Attrition_Dept_Tenure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Sufiya</dc:creator>
  <cp:lastModifiedBy>Sufiya Mohammad</cp:lastModifiedBy>
  <dcterms:created xsi:type="dcterms:W3CDTF">2026-08-04T15:29:28Z</dcterms:created>
  <dcterms:modified xsi:type="dcterms:W3CDTF">2026-10-20T11:03:03Z</dcterms:modified>
</cp:coreProperties>
</file>